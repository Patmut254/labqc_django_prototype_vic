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omePC\Downloads\"/>
    </mc:Choice>
  </mc:AlternateContent>
  <xr:revisionPtr revIDLastSave="0" documentId="13_ncr:1_{5561BB94-EC77-477C-AD8D-F7C281E1D8B4}" xr6:coauthVersionLast="47" xr6:coauthVersionMax="47" xr10:uidLastSave="{00000000-0000-0000-0000-000000000000}"/>
  <bookViews>
    <workbookView xWindow="-108" yWindow="-108" windowWidth="23256" windowHeight="12456" tabRatio="500" activeTab="6" xr2:uid="{00000000-000D-0000-FFFF-FFFF00000000}"/>
  </bookViews>
  <sheets>
    <sheet name="Instructions" sheetId="1" r:id="rId1"/>
    <sheet name="Lists" sheetId="2" r:id="rId2"/>
    <sheet name="Registration" sheetId="3" r:id="rId3"/>
    <sheet name="Slump Test" sheetId="4" r:id="rId4"/>
    <sheet name="Curing and Strength" sheetId="5" r:id="rId5"/>
    <sheet name="Reporting" sheetId="6" r:id="rId6"/>
    <sheet name="Charts" sheetId="7" r:id="rId7"/>
    <sheet name="Chart Data" sheetId="8" state="hidden"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5" i="8" l="1"/>
  <c r="B4" i="8"/>
  <c r="G3" i="8"/>
  <c r="E2" i="8"/>
  <c r="B5" i="6"/>
  <c r="B4" i="6"/>
  <c r="J52" i="5"/>
  <c r="H52" i="5"/>
  <c r="H51" i="5"/>
  <c r="J51" i="5" s="1"/>
  <c r="H50" i="5"/>
  <c r="J50" i="5" s="1"/>
  <c r="J49" i="5"/>
  <c r="H49" i="5"/>
  <c r="J48" i="5"/>
  <c r="H48" i="5"/>
  <c r="H47" i="5"/>
  <c r="J47" i="5" s="1"/>
  <c r="H46" i="5"/>
  <c r="J46" i="5" s="1"/>
  <c r="J45" i="5"/>
  <c r="H45" i="5"/>
  <c r="J44" i="5"/>
  <c r="H44" i="5"/>
  <c r="H43" i="5"/>
  <c r="J43" i="5" s="1"/>
  <c r="H42" i="5"/>
  <c r="J42" i="5" s="1"/>
  <c r="J41" i="5"/>
  <c r="H41" i="5"/>
  <c r="J40" i="5"/>
  <c r="H40" i="5"/>
  <c r="H39" i="5"/>
  <c r="J39" i="5" s="1"/>
  <c r="H38" i="5"/>
  <c r="J38" i="5" s="1"/>
  <c r="J37" i="5"/>
  <c r="H37" i="5"/>
  <c r="J36" i="5"/>
  <c r="H36" i="5"/>
  <c r="H35" i="5"/>
  <c r="J35" i="5" s="1"/>
  <c r="H34" i="5"/>
  <c r="J34" i="5" s="1"/>
  <c r="J33" i="5"/>
  <c r="H33" i="5"/>
  <c r="J32" i="5"/>
  <c r="H32" i="5"/>
  <c r="H31" i="5"/>
  <c r="J31" i="5" s="1"/>
  <c r="H30" i="5"/>
  <c r="J30" i="5" s="1"/>
  <c r="J29" i="5"/>
  <c r="H29" i="5"/>
  <c r="J28" i="5"/>
  <c r="H28" i="5"/>
  <c r="G5" i="8" s="1"/>
  <c r="H27" i="5"/>
  <c r="G4" i="8" s="1"/>
  <c r="H26" i="5"/>
  <c r="J26" i="5" s="1"/>
  <c r="J25" i="5"/>
  <c r="H25" i="5"/>
  <c r="G2" i="8" s="1"/>
  <c r="J24" i="5"/>
  <c r="H24" i="5"/>
  <c r="F5" i="8" s="1"/>
  <c r="H23" i="5"/>
  <c r="F4" i="8" s="1"/>
  <c r="H22" i="5"/>
  <c r="F3" i="8" s="1"/>
  <c r="J21" i="5"/>
  <c r="H21" i="5"/>
  <c r="F2" i="8" s="1"/>
  <c r="J20" i="5"/>
  <c r="H20" i="5"/>
  <c r="E5" i="8" s="1"/>
  <c r="H19" i="5"/>
  <c r="E4" i="8" s="1"/>
  <c r="H18" i="5"/>
  <c r="E3" i="8" s="1"/>
  <c r="J17" i="5"/>
  <c r="H17" i="5"/>
  <c r="J16" i="5"/>
  <c r="H16" i="5"/>
  <c r="D5" i="8" s="1"/>
  <c r="H15" i="5"/>
  <c r="J15" i="5" s="1"/>
  <c r="H14" i="5"/>
  <c r="D3" i="8" s="1"/>
  <c r="J13" i="5"/>
  <c r="H13" i="5"/>
  <c r="D2" i="8" s="1"/>
  <c r="J12" i="5"/>
  <c r="H12" i="5"/>
  <c r="H11" i="5"/>
  <c r="J11" i="5" s="1"/>
  <c r="H10" i="5"/>
  <c r="C3" i="8" s="1"/>
  <c r="J9" i="5"/>
  <c r="H9" i="5"/>
  <c r="C2" i="8" s="1"/>
  <c r="J8" i="5"/>
  <c r="H8" i="5"/>
  <c r="B5" i="8" s="1"/>
  <c r="H7" i="5"/>
  <c r="J7" i="5" s="1"/>
  <c r="H6" i="5"/>
  <c r="B3" i="8" s="1"/>
  <c r="J5" i="5"/>
  <c r="H5" i="5"/>
  <c r="B2" i="8" s="1"/>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B6" i="6" s="1"/>
  <c r="B13" i="8" s="1"/>
  <c r="J6" i="5" l="1"/>
  <c r="J10" i="5"/>
  <c r="J14" i="5"/>
  <c r="J18" i="5"/>
  <c r="J22" i="5"/>
  <c r="B9" i="6" s="1"/>
  <c r="B8" i="8" s="1"/>
  <c r="B7" i="6"/>
  <c r="C4" i="8"/>
  <c r="B8" i="6"/>
  <c r="D4" i="8"/>
  <c r="J19" i="5"/>
  <c r="J23" i="5"/>
  <c r="J27" i="5"/>
  <c r="B10" i="8" l="1"/>
  <c r="B9" i="8"/>
  <c r="B14" i="8"/>
</calcChain>
</file>

<file path=xl/sharedStrings.xml><?xml version="1.0" encoding="utf-8"?>
<sst xmlns="http://schemas.openxmlformats.org/spreadsheetml/2006/main" count="631" uniqueCount="282">
  <si>
    <t>Construction Material Test Documentation Framework</t>
  </si>
  <si>
    <t>Digital artefact for slump test and compressive strength test documentation - case study: Nigeria</t>
  </si>
  <si>
    <t>This workbook is the artefact for the dissertation "A Framework for Digitalising the Documentation of Construction Material Test Results in Nigeria: The Case of Slump and Compressive Strength Testing". It replaces paper logbooks and standalone Excel sheets with a single, structured, traceable spreadsheet system covering sample registration, slump testing, curing, compressive strength testing, and reporting. The sheets below are populated with data drawn from realistic Nigerian construction projects, so the workflow can be demonstrated end-to-end.</t>
  </si>
  <si>
    <t>Section</t>
  </si>
  <si>
    <t>Purpose</t>
  </si>
  <si>
    <t>How to use this workbook</t>
  </si>
  <si>
    <t>1. Sample Registration</t>
  </si>
  <si>
    <t>Every concrete batch is registered here first. Each sample has a unique ID that all other sheets refer to.</t>
  </si>
  <si>
    <t>2. Slump Test</t>
  </si>
  <si>
    <t>Fresh-concrete slump results at the point of testing, linked to a ID.</t>
  </si>
  <si>
    <t>3. Curing &amp; Compressive Strength</t>
  </si>
  <si>
    <t>The 7 / 14 / 21 / 28-day curing cycle, with load and cross-sectional area entered and compressive strength calculated automatically.</t>
  </si>
  <si>
    <t>4. Reporting &amp; Traceability</t>
  </si>
  <si>
    <t>A live summary and non-conformance log drawn automatically from the three data sheets.</t>
  </si>
  <si>
    <t>5. Dropdown lists</t>
  </si>
  <si>
    <t>The Lists sheet holds the fixed values used in dropdown menus (roles, concrete grades, curing ages, status). Edit it only if these categories change.</t>
  </si>
  <si>
    <t>Colour / formatting key</t>
  </si>
  <si>
    <t>Grey header row</t>
  </si>
  <si>
    <t>Column headers - do not edit.</t>
  </si>
  <si>
    <t>White (unshaded) cell</t>
  </si>
  <si>
    <t>Data entry field.</t>
  </si>
  <si>
    <t>Bold black text</t>
  </si>
  <si>
    <t>Calculated field - do not overwrite; formula updates automatically.</t>
  </si>
  <si>
    <t>Light grey shaded rows</t>
  </si>
  <si>
    <t>Populated data - edit or replace with data if needed.</t>
  </si>
  <si>
    <t>Legend</t>
  </si>
  <si>
    <t>Header row / section divider (grey fill)</t>
  </si>
  <si>
    <t>Populated data row (very light grey fill)</t>
  </si>
  <si>
    <t>Bold text</t>
  </si>
  <si>
    <t>Automatically calculated - do not type over</t>
  </si>
  <si>
    <t>Role</t>
  </si>
  <si>
    <t>Concrete Grade</t>
  </si>
  <si>
    <t>Test Status</t>
  </si>
  <si>
    <t>Curing Age (days)</t>
  </si>
  <si>
    <t>Lab Technician</t>
  </si>
  <si>
    <t>Grade 10</t>
  </si>
  <si>
    <t>Scheduled</t>
  </si>
  <si>
    <t>7</t>
  </si>
  <si>
    <t>Site Engineer</t>
  </si>
  <si>
    <t>Grade 20</t>
  </si>
  <si>
    <t>In Progress</t>
  </si>
  <si>
    <t>14</t>
  </si>
  <si>
    <t>Project Manager</t>
  </si>
  <si>
    <t>Grade 25</t>
  </si>
  <si>
    <t>Completed</t>
  </si>
  <si>
    <t>21</t>
  </si>
  <si>
    <t>Grade 30</t>
  </si>
  <si>
    <t>Non-Conforming</t>
  </si>
  <si>
    <t>28</t>
  </si>
  <si>
    <t>Grade 35</t>
  </si>
  <si>
    <t>Grade 40</t>
  </si>
  <si>
    <t>Reference lists used for dropdown menus on the data-entry sheets. Edit values here to update every dropdown at once.</t>
  </si>
  <si>
    <t>Registration</t>
  </si>
  <si>
    <t>Every concrete batch is registered here and given a unique ID used across all other sheets.</t>
  </si>
  <si>
    <t>Sample ID</t>
  </si>
  <si>
    <t>Project Name</t>
  </si>
  <si>
    <t>Batch No.</t>
  </si>
  <si>
    <t>Mixer ID</t>
  </si>
  <si>
    <t>Casting Date</t>
  </si>
  <si>
    <t>Registered By</t>
  </si>
  <si>
    <t>Notes</t>
  </si>
  <si>
    <t>SMP-0001</t>
  </si>
  <si>
    <t>Lagos-Ibadan Expressway Rehabilitation</t>
  </si>
  <si>
    <t>B-001</t>
  </si>
  <si>
    <t>MX-01</t>
  </si>
  <si>
    <t>2026-08-01</t>
  </si>
  <si>
    <t>User 1</t>
  </si>
  <si>
    <t>Routine batch check</t>
  </si>
  <si>
    <t>SMP-0002</t>
  </si>
  <si>
    <t>Abuja Light Rail Extension</t>
  </si>
  <si>
    <t>B-002</t>
  </si>
  <si>
    <t>MX-02</t>
  </si>
  <si>
    <t>2026-08-02</t>
  </si>
  <si>
    <t>User 2</t>
  </si>
  <si>
    <t>First pour of the week</t>
  </si>
  <si>
    <t>SMP-0003</t>
  </si>
  <si>
    <t>Port Harcourt Housing Estate</t>
  </si>
  <si>
    <t>B-003</t>
  </si>
  <si>
    <t>MX-03</t>
  </si>
  <si>
    <t>2026-08-03</t>
  </si>
  <si>
    <t>User 3</t>
  </si>
  <si>
    <t>Client witness present</t>
  </si>
  <si>
    <t>SMP-0004</t>
  </si>
  <si>
    <t>Kano Ring Road Upgrade</t>
  </si>
  <si>
    <t>B-004</t>
  </si>
  <si>
    <t>MX-04</t>
  </si>
  <si>
    <t>2026-08-04</t>
  </si>
  <si>
    <t>User 4</t>
  </si>
  <si>
    <t>Rain delay - poured mid-morning</t>
  </si>
  <si>
    <t>SMP-0005</t>
  </si>
  <si>
    <t>Enugu Flyover Bridge</t>
  </si>
  <si>
    <t>B-005</t>
  </si>
  <si>
    <t>2026-08-05</t>
  </si>
  <si>
    <t>User 5</t>
  </si>
  <si>
    <t>Re-test scheduled after mix adjustment</t>
  </si>
  <si>
    <t>SMP-0006</t>
  </si>
  <si>
    <t>Kaduna Industrial Layout</t>
  </si>
  <si>
    <t>B-006</t>
  </si>
  <si>
    <t>2026-08-06</t>
  </si>
  <si>
    <t>User 6</t>
  </si>
  <si>
    <t>Standard delivery</t>
  </si>
  <si>
    <t>SMP-0007</t>
  </si>
  <si>
    <t>Ibadan-Ogbomoso Highway</t>
  </si>
  <si>
    <t>B-007</t>
  </si>
  <si>
    <t>2026-08-07</t>
  </si>
  <si>
    <t>User 7</t>
  </si>
  <si>
    <t>New mixer commissioned</t>
  </si>
  <si>
    <t>SMP-0008</t>
  </si>
  <si>
    <t>Onitsha Market Complex</t>
  </si>
  <si>
    <t>B-008</t>
  </si>
  <si>
    <t>2026-08-08</t>
  </si>
  <si>
    <t>User 8</t>
  </si>
  <si>
    <t>Weekend pour</t>
  </si>
  <si>
    <t>SMP-0009</t>
  </si>
  <si>
    <t>Benin City Drainage Project</t>
  </si>
  <si>
    <t>B-009</t>
  </si>
  <si>
    <t>2026-08-09</t>
  </si>
  <si>
    <t>User 9</t>
  </si>
  <si>
    <t>Site engineer inspection</t>
  </si>
  <si>
    <t>SMP-0010</t>
  </si>
  <si>
    <t>Warri Refinery Access Road</t>
  </si>
  <si>
    <t>B-010</t>
  </si>
  <si>
    <t>2026-08-10</t>
  </si>
  <si>
    <t>User 10</t>
  </si>
  <si>
    <t>Quarterly compliance sample</t>
  </si>
  <si>
    <t>SMP-0011</t>
  </si>
  <si>
    <t>Abeokuta Water Treatment Plant</t>
  </si>
  <si>
    <t>B-011</t>
  </si>
  <si>
    <t>2026-08-11</t>
  </si>
  <si>
    <t>SMP-0012</t>
  </si>
  <si>
    <t>Jos Plateau Housing Scheme</t>
  </si>
  <si>
    <t>B-012</t>
  </si>
  <si>
    <t>2026-08-12</t>
  </si>
  <si>
    <t>SMP-0013</t>
  </si>
  <si>
    <t>Uyo Stadium Access Road</t>
  </si>
  <si>
    <t>B-013</t>
  </si>
  <si>
    <t>2026-08-13</t>
  </si>
  <si>
    <t>SMP-0014</t>
  </si>
  <si>
    <t>Owerri Government Secretariat</t>
  </si>
  <si>
    <t>B-014</t>
  </si>
  <si>
    <t>2026-08-14</t>
  </si>
  <si>
    <t>SMP-0015</t>
  </si>
  <si>
    <t>Calabar Free Trade Zone Extension</t>
  </si>
  <si>
    <t>B-015</t>
  </si>
  <si>
    <t>2026-08-15</t>
  </si>
  <si>
    <t>SMP-0016</t>
  </si>
  <si>
    <t>Ilorin-Jebba Highway</t>
  </si>
  <si>
    <t>B-016</t>
  </si>
  <si>
    <t>2026-08-16</t>
  </si>
  <si>
    <t>SMP-0017</t>
  </si>
  <si>
    <t>Sokoto Central Market Rebuild</t>
  </si>
  <si>
    <t>B-017</t>
  </si>
  <si>
    <t>2026-08-17</t>
  </si>
  <si>
    <t>SMP-0018</t>
  </si>
  <si>
    <t>Minna Airport Road</t>
  </si>
  <si>
    <t>B-018</t>
  </si>
  <si>
    <t>2026-08-18</t>
  </si>
  <si>
    <t>SMP-0019</t>
  </si>
  <si>
    <t>Yenagoa Bridge Project</t>
  </si>
  <si>
    <t>B-019</t>
  </si>
  <si>
    <t>2026-08-19</t>
  </si>
  <si>
    <t>SMP-0020</t>
  </si>
  <si>
    <t>Zaria Teaching Hospital Annex</t>
  </si>
  <si>
    <t>B-020</t>
  </si>
  <si>
    <t>2026-08-20</t>
  </si>
  <si>
    <t>Slump Test</t>
  </si>
  <si>
    <t>Fresh-concrete workability results, linked to a registered ID.</t>
  </si>
  <si>
    <t>Test Date</t>
  </si>
  <si>
    <t>Slump (mm)</t>
  </si>
  <si>
    <t>Acceptance Limit (mm)</t>
  </si>
  <si>
    <t>Within Limit?</t>
  </si>
  <si>
    <t>Tested By</t>
  </si>
  <si>
    <t>Witnessed By</t>
  </si>
  <si>
    <t>Witness 1</t>
  </si>
  <si>
    <t>Within acceptable range</t>
  </si>
  <si>
    <t>Witness 2</t>
  </si>
  <si>
    <t>Witness 3</t>
  </si>
  <si>
    <t>Witness 4</t>
  </si>
  <si>
    <t>Mix adjusted for re-pour</t>
  </si>
  <si>
    <t>Witness 5</t>
  </si>
  <si>
    <t>Witness 6</t>
  </si>
  <si>
    <t>Witness 7</t>
  </si>
  <si>
    <t>Witness 8</t>
  </si>
  <si>
    <t>Witness 9</t>
  </si>
  <si>
    <t>Witness 10</t>
  </si>
  <si>
    <t>Curing and Compressive Strength</t>
  </si>
  <si>
    <t>7 / 14 / 21 / 28-day curing schedule with automatic compressive-strength calculation.</t>
  </si>
  <si>
    <t>Cube Ref.</t>
  </si>
  <si>
    <t>Load (kN)</t>
  </si>
  <si>
    <t>Cross-Sec. Area (mm2)</t>
  </si>
  <si>
    <t>Compressive Strength (N/mm2)</t>
  </si>
  <si>
    <t>Acceptance Limit (N/mm2)</t>
  </si>
  <si>
    <t>Result</t>
  </si>
  <si>
    <t>CB-001-1</t>
  </si>
  <si>
    <t>CB-001-2</t>
  </si>
  <si>
    <t>2026-08-22</t>
  </si>
  <si>
    <t>CB-001-3</t>
  </si>
  <si>
    <t>2026-08-29</t>
  </si>
  <si>
    <t>CB-001-4</t>
  </si>
  <si>
    <t>CB-002-1</t>
  </si>
  <si>
    <t>CB-002-2</t>
  </si>
  <si>
    <t>2026-08-23</t>
  </si>
  <si>
    <t>CB-002-3</t>
  </si>
  <si>
    <t>2026-08-30</t>
  </si>
  <si>
    <t>CB-002-4</t>
  </si>
  <si>
    <t>CB-003-1</t>
  </si>
  <si>
    <t>CB-003-2</t>
  </si>
  <si>
    <t>2026-08-24</t>
  </si>
  <si>
    <t>CB-003-3</t>
  </si>
  <si>
    <t>2026-08-31</t>
  </si>
  <si>
    <t>CB-003-4</t>
  </si>
  <si>
    <t>CB-004-1</t>
  </si>
  <si>
    <t>CB-004-2</t>
  </si>
  <si>
    <t>2026-08-25</t>
  </si>
  <si>
    <t>CB-004-3</t>
  </si>
  <si>
    <t>2026-09-01</t>
  </si>
  <si>
    <t>CB-004-4</t>
  </si>
  <si>
    <t>CB-005-1</t>
  </si>
  <si>
    <t>CB-005-2</t>
  </si>
  <si>
    <t>2026-08-26</t>
  </si>
  <si>
    <t>CB-005-3</t>
  </si>
  <si>
    <t>2026-09-02</t>
  </si>
  <si>
    <t>CB-005-4</t>
  </si>
  <si>
    <t>CB-006-1</t>
  </si>
  <si>
    <t>CB-006-2</t>
  </si>
  <si>
    <t>2026-08-27</t>
  </si>
  <si>
    <t>CB-006-3</t>
  </si>
  <si>
    <t>2026-09-03</t>
  </si>
  <si>
    <t>CB-006-4</t>
  </si>
  <si>
    <t>2026-09-04</t>
  </si>
  <si>
    <t>CB-007-1</t>
  </si>
  <si>
    <t>2026-09-05</t>
  </si>
  <si>
    <t>CB-008-1</t>
  </si>
  <si>
    <t>2026-09-06</t>
  </si>
  <si>
    <t>CB-009-1</t>
  </si>
  <si>
    <t>2026-09-07</t>
  </si>
  <si>
    <t>CB-010-1</t>
  </si>
  <si>
    <t>2026-09-08</t>
  </si>
  <si>
    <t>CB-011-1</t>
  </si>
  <si>
    <t>2026-09-09</t>
  </si>
  <si>
    <t>CB-012-1</t>
  </si>
  <si>
    <t>2026-09-10</t>
  </si>
  <si>
    <t>CB-013-1</t>
  </si>
  <si>
    <t>2026-09-11</t>
  </si>
  <si>
    <t>CB-014-1</t>
  </si>
  <si>
    <t>2026-09-12</t>
  </si>
  <si>
    <t>CB-015-1</t>
  </si>
  <si>
    <t>2026-09-13</t>
  </si>
  <si>
    <t>CB-016-1</t>
  </si>
  <si>
    <t>2026-09-14</t>
  </si>
  <si>
    <t>CB-017-1</t>
  </si>
  <si>
    <t>2026-09-15</t>
  </si>
  <si>
    <t>CB-018-1</t>
  </si>
  <si>
    <t>2026-09-16</t>
  </si>
  <si>
    <t>CB-019-1</t>
  </si>
  <si>
    <t>2026-09-17</t>
  </si>
  <si>
    <t>CB-020-1</t>
  </si>
  <si>
    <t>Reporting and Traceability</t>
  </si>
  <si>
    <t>Summary Metric</t>
  </si>
  <si>
    <t>Value</t>
  </si>
  <si>
    <t>Total samples registered</t>
  </si>
  <si>
    <t>Total slump tests recorded</t>
  </si>
  <si>
    <t>Slump tests non-conforming</t>
  </si>
  <si>
    <t>Total compressive strength tests recorded</t>
  </si>
  <si>
    <t>Compressive strength tests failed</t>
  </si>
  <si>
    <t>Compressive strength tests passed</t>
  </si>
  <si>
    <t>Non-Conformance Log (auto-flagged)</t>
  </si>
  <si>
    <t>Sheet</t>
  </si>
  <si>
    <t>Issue</t>
  </si>
  <si>
    <t>Date Flagged</t>
  </si>
  <si>
    <t>Slump 95mm exceeds 90mm limit</t>
  </si>
  <si>
    <t>Slump 96mm exceeds 90mm limit</t>
  </si>
  <si>
    <t>Slump 91mm exceeds 90mm limit</t>
  </si>
  <si>
    <t>Curing and Strength</t>
  </si>
  <si>
    <t>28-day compressive strength below acceptance limit</t>
  </si>
  <si>
    <t>Outcome</t>
  </si>
  <si>
    <t>Count</t>
  </si>
  <si>
    <t>Pass</t>
  </si>
  <si>
    <t>Fail - Non-Conforming</t>
  </si>
  <si>
    <t>Test Type</t>
  </si>
  <si>
    <t>Non-Conforming Count</t>
  </si>
  <si>
    <t>Compressive Strength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</si>
</sst>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6"/>
      <color rgb="FF000000"/>
      <name val="Times New Roman"/>
      <family val="1"/>
      <charset val="1"/>
    </font>
    <font>
      <sz val="11"/>
      <color rgb="FF000000"/>
      <name val="Times New Roman"/>
      <family val="1"/>
      <charset val="1"/>
    </font>
    <font>
      <b/>
      <sz val="11"/>
      <color rgb="FF000000"/>
      <name val="Times New Roman"/>
      <family val="1"/>
      <charset val="1"/>
    </font>
    <font>
      <sz val="9"/>
      <color rgb="FF000000"/>
      <name val="Times New Roman"/>
      <family val="1"/>
      <charset val="1"/>
    </font>
    <font>
      <b/>
      <sz val="11"/>
      <color rgb="FFFFFFFF"/>
      <name val="Times New Roman"/>
      <family val="1"/>
      <charset val="1"/>
    </font>
    <font>
      <b/>
      <sz val="11"/>
      <color rgb="FFFFFFFF"/>
      <name val="Times New Roman"/>
      <charset val="1"/>
    </font>
    <font>
      <b/>
      <sz val="11"/>
      <color rgb="FF000000"/>
      <name val="Times New Roman"/>
      <charset val="1"/>
    </font>
  </fonts>
  <fills count="5">
    <fill>
      <patternFill patternType="none"/>
    </fill>
    <fill>
      <patternFill patternType="gray125"/>
    </fill>
    <fill>
      <patternFill patternType="solid">
        <fgColor rgb="FFD9D9D9"/>
        <bgColor rgb="FFF2F2F2"/>
      </patternFill>
    </fill>
    <fill>
      <patternFill patternType="solid">
        <fgColor rgb="FFF2F2F2"/>
        <bgColor rgb="FFFFFFFF"/>
      </patternFill>
    </fill>
    <fill>
      <patternFill patternType="solid">
        <fgColor rgb="FF000000"/>
        <bgColor rgb="FF003300"/>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25">
    <xf numFmtId="0" fontId="0" fillId="0" borderId="0" xfId="0"/>
    <xf numFmtId="0" fontId="4" fillId="0" borderId="0" xfId="0" applyFont="1"/>
    <xf numFmtId="0" fontId="3" fillId="2" borderId="2" xfId="0" applyFont="1" applyFill="1" applyBorder="1"/>
    <xf numFmtId="0" fontId="2" fillId="0" borderId="0" xfId="0" applyFont="1" applyAlignment="1">
      <alignment vertical="top" wrapText="1"/>
    </xf>
    <xf numFmtId="0" fontId="2" fillId="0" borderId="0" xfId="0" applyFont="1"/>
    <xf numFmtId="0" fontId="1" fillId="0" borderId="0" xfId="0" applyFont="1" applyAlignment="1">
      <alignment horizontal="left" vertical="center"/>
    </xf>
    <xf numFmtId="0" fontId="2" fillId="0" borderId="0" xfId="0" applyFont="1"/>
    <xf numFmtId="0" fontId="3" fillId="2" borderId="1" xfId="0" applyFont="1" applyFill="1" applyBorder="1" applyAlignment="1">
      <alignment horizontal="center" vertical="center" wrapText="1"/>
    </xf>
    <xf numFmtId="0" fontId="3" fillId="0" borderId="1" xfId="0" applyFont="1" applyBorder="1" applyAlignment="1">
      <alignment vertical="top" wrapText="1"/>
    </xf>
    <xf numFmtId="0" fontId="2" fillId="0" borderId="1" xfId="0" applyFont="1" applyBorder="1" applyAlignment="1">
      <alignment vertical="top" wrapText="1"/>
    </xf>
    <xf numFmtId="0" fontId="3" fillId="0" borderId="0" xfId="0" applyFont="1"/>
    <xf numFmtId="0" fontId="0" fillId="2" borderId="1" xfId="0" applyFill="1" applyBorder="1"/>
    <xf numFmtId="0" fontId="0" fillId="3" borderId="1" xfId="0" applyFill="1" applyBorder="1"/>
    <xf numFmtId="0" fontId="3" fillId="2" borderId="1" xfId="0" applyFont="1" applyFill="1" applyBorder="1"/>
    <xf numFmtId="0" fontId="2" fillId="0" borderId="1" xfId="0" applyFont="1" applyBorder="1"/>
    <xf numFmtId="0" fontId="5" fillId="4"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0" borderId="1" xfId="0" applyFont="1" applyBorder="1" applyAlignment="1">
      <alignment horizontal="center" vertical="center"/>
    </xf>
    <xf numFmtId="0" fontId="3" fillId="3" borderId="1" xfId="0" applyFont="1" applyFill="1" applyBorder="1" applyAlignment="1">
      <alignment horizontal="center" vertical="center"/>
    </xf>
    <xf numFmtId="0" fontId="3" fillId="0" borderId="1" xfId="0" applyFont="1" applyBorder="1" applyAlignment="1">
      <alignment horizontal="center" vertical="center"/>
    </xf>
    <xf numFmtId="2" fontId="3" fillId="3" borderId="1" xfId="0" applyNumberFormat="1" applyFont="1" applyFill="1" applyBorder="1" applyAlignment="1">
      <alignment horizontal="center" vertical="center"/>
    </xf>
    <xf numFmtId="2" fontId="3" fillId="0" borderId="1" xfId="0" applyNumberFormat="1" applyFont="1" applyBorder="1" applyAlignment="1">
      <alignment horizontal="center" vertical="center"/>
    </xf>
    <xf numFmtId="0" fontId="3" fillId="0" borderId="1" xfId="0" applyFont="1" applyBorder="1" applyAlignment="1">
      <alignment horizontal="center"/>
    </xf>
    <xf numFmtId="0" fontId="6" fillId="4" borderId="0" xfId="0" applyFont="1" applyFill="1"/>
    <xf numFmtId="0" fontId="7"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9467BD"/>
      <rgbColor rgb="FF9999FF"/>
      <rgbColor rgb="FF8C564B"/>
      <rgbColor rgb="FFF2F2F2"/>
      <rgbColor rgb="FFCCFFFF"/>
      <rgbColor rgb="FF660066"/>
      <rgbColor rgb="FFED7D31"/>
      <rgbColor rgb="FF1F77B4"/>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70AD47"/>
      <rgbColor rgb="FFFFCC00"/>
      <rgbColor rgb="FFFF9900"/>
      <rgbColor rgb="FFFF7F0E"/>
      <rgbColor rgb="FF4F81BD"/>
      <rgbColor rgb="FFB3B3B3"/>
      <rgbColor rgb="FF003366"/>
      <rgbColor rgb="FF2CA02C"/>
      <rgbColor rgb="FF003300"/>
      <rgbColor rgb="FF333300"/>
      <rgbColor rgb="FFD62728"/>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400" b="1" strike="noStrike" spc="-1">
                <a:solidFill>
                  <a:srgbClr val="000000"/>
                </a:solidFill>
                <a:latin typeface="Calibri"/>
              </a:defRPr>
            </a:pPr>
            <a:r>
              <a:rPr lang="en-US" sz="1400" b="1" strike="noStrike" spc="-1">
                <a:solidFill>
                  <a:srgbClr val="000000"/>
                </a:solidFill>
                <a:latin typeface="Calibri"/>
              </a:rPr>
              <a:t>Figure 6.1: Recorded slump results against acceptance limits for all twenty registered samples</a:t>
            </a:r>
          </a:p>
        </c:rich>
      </c:tx>
      <c:overlay val="0"/>
      <c:spPr>
        <a:noFill/>
        <a:ln w="0">
          <a:noFill/>
        </a:ln>
      </c:spPr>
    </c:title>
    <c:autoTitleDeleted val="0"/>
    <c:plotArea>
      <c:layout/>
      <c:barChart>
        <c:barDir val="col"/>
        <c:grouping val="clustered"/>
        <c:varyColors val="0"/>
        <c:ser>
          <c:idx val="0"/>
          <c:order val="0"/>
          <c:tx>
            <c:strRef>
              <c:f>'Slump Test'!$D$4</c:f>
              <c:strCache>
                <c:ptCount val="1"/>
                <c:pt idx="0">
                  <c:v>Slump (mm)</c:v>
                </c:pt>
              </c:strCache>
            </c:strRef>
          </c:tx>
          <c:spPr>
            <a:solidFill>
              <a:srgbClr val="4472C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'Slump Test'!$A$5:$A$24</c:f>
              <c:strCache>
                <c:ptCount val="20"/>
                <c:pt idx="0">
                  <c:v>SMP-0001</c:v>
                </c:pt>
                <c:pt idx="1">
                  <c:v>SMP-0002</c:v>
                </c:pt>
                <c:pt idx="2">
                  <c:v>SMP-0003</c:v>
                </c:pt>
                <c:pt idx="3">
                  <c:v>SMP-0004</c:v>
                </c:pt>
                <c:pt idx="4">
                  <c:v>SMP-0005</c:v>
                </c:pt>
                <c:pt idx="5">
                  <c:v>SMP-0006</c:v>
                </c:pt>
                <c:pt idx="6">
                  <c:v>SMP-0007</c:v>
                </c:pt>
                <c:pt idx="7">
                  <c:v>SMP-0008</c:v>
                </c:pt>
                <c:pt idx="8">
                  <c:v>SMP-0009</c:v>
                </c:pt>
                <c:pt idx="9">
                  <c:v>SMP-0010</c:v>
                </c:pt>
                <c:pt idx="10">
                  <c:v>SMP-0011</c:v>
                </c:pt>
                <c:pt idx="11">
                  <c:v>SMP-0012</c:v>
                </c:pt>
                <c:pt idx="12">
                  <c:v>SMP-0013</c:v>
                </c:pt>
                <c:pt idx="13">
                  <c:v>SMP-0014</c:v>
                </c:pt>
                <c:pt idx="14">
                  <c:v>SMP-0015</c:v>
                </c:pt>
                <c:pt idx="15">
                  <c:v>SMP-0016</c:v>
                </c:pt>
                <c:pt idx="16">
                  <c:v>SMP-0017</c:v>
                </c:pt>
                <c:pt idx="17">
                  <c:v>SMP-0018</c:v>
                </c:pt>
                <c:pt idx="18">
                  <c:v>SMP-0019</c:v>
                </c:pt>
                <c:pt idx="19">
                  <c:v>SMP-0020</c:v>
                </c:pt>
              </c:strCache>
            </c:strRef>
          </c:cat>
          <c:val>
            <c:numRef>
              <c:f>'Slump Test'!$D$5:$D$24</c:f>
              <c:numCache>
                <c:formatCode>General</c:formatCode>
                <c:ptCount val="20"/>
                <c:pt idx="0">
                  <c:v>72</c:v>
                </c:pt>
                <c:pt idx="1">
                  <c:v>80</c:v>
                </c:pt>
                <c:pt idx="2">
                  <c:v>68</c:v>
                </c:pt>
                <c:pt idx="3">
                  <c:v>95</c:v>
                </c:pt>
                <c:pt idx="4">
                  <c:v>60</c:v>
                </c:pt>
                <c:pt idx="5">
                  <c:v>85</c:v>
                </c:pt>
                <c:pt idx="6">
                  <c:v>78</c:v>
                </c:pt>
                <c:pt idx="7">
                  <c:v>92</c:v>
                </c:pt>
                <c:pt idx="8">
                  <c:v>65</c:v>
                </c:pt>
                <c:pt idx="9">
                  <c:v>70</c:v>
                </c:pt>
                <c:pt idx="10">
                  <c:v>88</c:v>
                </c:pt>
                <c:pt idx="11">
                  <c:v>82</c:v>
                </c:pt>
                <c:pt idx="12">
                  <c:v>96</c:v>
                </c:pt>
                <c:pt idx="13">
                  <c:v>75</c:v>
                </c:pt>
                <c:pt idx="14">
                  <c:v>63</c:v>
                </c:pt>
                <c:pt idx="15">
                  <c:v>90</c:v>
                </c:pt>
                <c:pt idx="16">
                  <c:v>79</c:v>
                </c:pt>
                <c:pt idx="17">
                  <c:v>55</c:v>
                </c:pt>
                <c:pt idx="18">
                  <c:v>84</c:v>
                </c:pt>
                <c:pt idx="19">
                  <c:v>91</c:v>
                </c:pt>
              </c:numCache>
            </c:numRef>
          </c:val>
          <c:extLst>
            <c:ext xmlns:c16="http://schemas.microsoft.com/office/drawing/2014/chart" uri="{C3380CC4-5D6E-409C-BE32-E72D297353CC}">
              <c16:uniqueId val="{00000000-5F20-4794-93C7-1DD95C8C32F1}"/>
            </c:ext>
          </c:extLst>
        </c:ser>
        <c:ser>
          <c:idx val="1"/>
          <c:order val="1"/>
          <c:tx>
            <c:strRef>
              <c:f>'Slump Test'!$E$4</c:f>
              <c:strCache>
                <c:ptCount val="1"/>
                <c:pt idx="0">
                  <c:v>Acceptance Limit (mm)</c:v>
                </c:pt>
              </c:strCache>
            </c:strRef>
          </c:tx>
          <c:spPr>
            <a:solidFill>
              <a:srgbClr val="ED7D31"/>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'Slump Test'!$A$5:$A$24</c:f>
              <c:strCache>
                <c:ptCount val="20"/>
                <c:pt idx="0">
                  <c:v>SMP-0001</c:v>
                </c:pt>
                <c:pt idx="1">
                  <c:v>SMP-0002</c:v>
                </c:pt>
                <c:pt idx="2">
                  <c:v>SMP-0003</c:v>
                </c:pt>
                <c:pt idx="3">
                  <c:v>SMP-0004</c:v>
                </c:pt>
                <c:pt idx="4">
                  <c:v>SMP-0005</c:v>
                </c:pt>
                <c:pt idx="5">
                  <c:v>SMP-0006</c:v>
                </c:pt>
                <c:pt idx="6">
                  <c:v>SMP-0007</c:v>
                </c:pt>
                <c:pt idx="7">
                  <c:v>SMP-0008</c:v>
                </c:pt>
                <c:pt idx="8">
                  <c:v>SMP-0009</c:v>
                </c:pt>
                <c:pt idx="9">
                  <c:v>SMP-0010</c:v>
                </c:pt>
                <c:pt idx="10">
                  <c:v>SMP-0011</c:v>
                </c:pt>
                <c:pt idx="11">
                  <c:v>SMP-0012</c:v>
                </c:pt>
                <c:pt idx="12">
                  <c:v>SMP-0013</c:v>
                </c:pt>
                <c:pt idx="13">
                  <c:v>SMP-0014</c:v>
                </c:pt>
                <c:pt idx="14">
                  <c:v>SMP-0015</c:v>
                </c:pt>
                <c:pt idx="15">
                  <c:v>SMP-0016</c:v>
                </c:pt>
                <c:pt idx="16">
                  <c:v>SMP-0017</c:v>
                </c:pt>
                <c:pt idx="17">
                  <c:v>SMP-0018</c:v>
                </c:pt>
                <c:pt idx="18">
                  <c:v>SMP-0019</c:v>
                </c:pt>
                <c:pt idx="19">
                  <c:v>SMP-0020</c:v>
                </c:pt>
              </c:strCache>
            </c:strRef>
          </c:cat>
          <c:val>
            <c:numRef>
              <c:f>'Slump Test'!$E$5:$E$24</c:f>
              <c:numCache>
                <c:formatCode>General</c:formatCode>
                <c:ptCount val="20"/>
                <c:pt idx="0">
                  <c:v>90</c:v>
                </c:pt>
                <c:pt idx="1">
                  <c:v>90</c:v>
                </c:pt>
                <c:pt idx="2">
                  <c:v>100</c:v>
                </c:pt>
                <c:pt idx="3">
                  <c:v>90</c:v>
                </c:pt>
                <c:pt idx="4">
                  <c:v>90</c:v>
                </c:pt>
                <c:pt idx="5">
                  <c:v>100</c:v>
                </c:pt>
                <c:pt idx="6">
                  <c:v>90</c:v>
                </c:pt>
                <c:pt idx="7">
                  <c:v>100</c:v>
                </c:pt>
                <c:pt idx="8">
                  <c:v>90</c:v>
                </c:pt>
                <c:pt idx="9">
                  <c:v>90</c:v>
                </c:pt>
                <c:pt idx="10">
                  <c:v>100</c:v>
                </c:pt>
                <c:pt idx="11">
                  <c:v>90</c:v>
                </c:pt>
                <c:pt idx="12">
                  <c:v>90</c:v>
                </c:pt>
                <c:pt idx="13">
                  <c:v>100</c:v>
                </c:pt>
                <c:pt idx="14">
                  <c:v>90</c:v>
                </c:pt>
                <c:pt idx="15">
                  <c:v>100</c:v>
                </c:pt>
                <c:pt idx="16">
                  <c:v>90</c:v>
                </c:pt>
                <c:pt idx="17">
                  <c:v>90</c:v>
                </c:pt>
                <c:pt idx="18">
                  <c:v>100</c:v>
                </c:pt>
                <c:pt idx="19">
                  <c:v>90</c:v>
                </c:pt>
              </c:numCache>
            </c:numRef>
          </c:val>
          <c:extLst>
            <c:ext xmlns:c16="http://schemas.microsoft.com/office/drawing/2014/chart" uri="{C3380CC4-5D6E-409C-BE32-E72D297353CC}">
              <c16:uniqueId val="{00000001-5F20-4794-93C7-1DD95C8C32F1}"/>
            </c:ext>
          </c:extLst>
        </c:ser>
        <c:dLbls>
          <c:showLegendKey val="0"/>
          <c:showVal val="0"/>
          <c:showCatName val="0"/>
          <c:showSerName val="0"/>
          <c:showPercent val="0"/>
          <c:showBubbleSize val="0"/>
        </c:dLbls>
        <c:gapWidth val="150"/>
        <c:axId val="82176765"/>
        <c:axId val="66492362"/>
      </c:barChart>
      <c:catAx>
        <c:axId val="82176765"/>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Sample ID</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6492362"/>
        <c:crosses val="autoZero"/>
        <c:auto val="1"/>
        <c:lblAlgn val="ctr"/>
        <c:lblOffset val="100"/>
        <c:noMultiLvlLbl val="0"/>
      </c:catAx>
      <c:valAx>
        <c:axId val="66492362"/>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Slump (mm)</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217676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400" b="1" strike="noStrike" spc="-1">
                <a:solidFill>
                  <a:srgbClr val="000000"/>
                </a:solidFill>
                <a:latin typeface="Calibri"/>
              </a:defRPr>
            </a:pPr>
            <a:r>
              <a:rPr lang="en-US" sz="1400" b="1" strike="noStrike" spc="-1">
                <a:solidFill>
                  <a:srgbClr val="000000"/>
                </a:solidFill>
                <a:latin typeface="Calibri"/>
              </a:rPr>
              <a:t>Figure 6.2: Compressive strength development for six samples across the full 7, 14, 21, and 28-day curing cycle</a:t>
            </a:r>
          </a:p>
        </c:rich>
      </c:tx>
      <c:overlay val="0"/>
      <c:spPr>
        <a:noFill/>
        <a:ln w="0">
          <a:noFill/>
        </a:ln>
      </c:spPr>
    </c:title>
    <c:autoTitleDeleted val="0"/>
    <c:plotArea>
      <c:layout/>
      <c:lineChart>
        <c:grouping val="standard"/>
        <c:varyColors val="0"/>
        <c:ser>
          <c:idx val="0"/>
          <c:order val="0"/>
          <c:tx>
            <c:strRef>
              <c:f>'Chart Data'!$B$1</c:f>
              <c:strCache>
                <c:ptCount val="1"/>
                <c:pt idx="0">
                  <c:v>SMP-0001</c:v>
                </c:pt>
              </c:strCache>
            </c:strRef>
          </c:tx>
          <c:spPr>
            <a:ln w="20160">
              <a:solidFill>
                <a:srgbClr val="1F77B4"/>
              </a:solidFill>
              <a:round/>
            </a:ln>
          </c:spPr>
          <c:marker>
            <c:symbol val="circle"/>
            <c:size val="6"/>
            <c:spPr>
              <a:solidFill>
                <a:srgbClr val="1F77B4"/>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'Chart Data'!$A$2:$A$5</c:f>
              <c:numCache>
                <c:formatCode>General</c:formatCode>
                <c:ptCount val="4"/>
                <c:pt idx="0">
                  <c:v>7</c:v>
                </c:pt>
                <c:pt idx="1">
                  <c:v>14</c:v>
                </c:pt>
                <c:pt idx="2">
                  <c:v>21</c:v>
                </c:pt>
                <c:pt idx="3">
                  <c:v>28</c:v>
                </c:pt>
              </c:numCache>
            </c:numRef>
          </c:cat>
          <c:val>
            <c:numRef>
              <c:f>'Chart Data'!$B$2:$B$5</c:f>
              <c:numCache>
                <c:formatCode>General</c:formatCode>
                <c:ptCount val="4"/>
                <c:pt idx="0">
                  <c:v>12.4</c:v>
                </c:pt>
                <c:pt idx="1">
                  <c:v>16.399999999999999</c:v>
                </c:pt>
                <c:pt idx="2">
                  <c:v>18.600000000000001</c:v>
                </c:pt>
                <c:pt idx="3">
                  <c:v>20.399999999999999</c:v>
                </c:pt>
              </c:numCache>
            </c:numRef>
          </c:val>
          <c:smooth val="0"/>
          <c:extLst>
            <c:ext xmlns:c16="http://schemas.microsoft.com/office/drawing/2014/chart" uri="{C3380CC4-5D6E-409C-BE32-E72D297353CC}">
              <c16:uniqueId val="{00000000-F9BB-4E7C-96B7-728D667749F4}"/>
            </c:ext>
          </c:extLst>
        </c:ser>
        <c:ser>
          <c:idx val="1"/>
          <c:order val="1"/>
          <c:tx>
            <c:strRef>
              <c:f>'Chart Data'!$C$1</c:f>
              <c:strCache>
                <c:ptCount val="1"/>
                <c:pt idx="0">
                  <c:v>SMP-0002</c:v>
                </c:pt>
              </c:strCache>
            </c:strRef>
          </c:tx>
          <c:spPr>
            <a:ln w="20160">
              <a:solidFill>
                <a:srgbClr val="FF7F0E"/>
              </a:solidFill>
              <a:round/>
            </a:ln>
          </c:spPr>
          <c:marker>
            <c:symbol val="circle"/>
            <c:size val="6"/>
            <c:spPr>
              <a:solidFill>
                <a:srgbClr val="FF7F0E"/>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'Chart Data'!$A$2:$A$5</c:f>
              <c:numCache>
                <c:formatCode>General</c:formatCode>
                <c:ptCount val="4"/>
                <c:pt idx="0">
                  <c:v>7</c:v>
                </c:pt>
                <c:pt idx="1">
                  <c:v>14</c:v>
                </c:pt>
                <c:pt idx="2">
                  <c:v>21</c:v>
                </c:pt>
                <c:pt idx="3">
                  <c:v>28</c:v>
                </c:pt>
              </c:numCache>
            </c:numRef>
          </c:cat>
          <c:val>
            <c:numRef>
              <c:f>'Chart Data'!$C$2:$C$5</c:f>
              <c:numCache>
                <c:formatCode>General</c:formatCode>
                <c:ptCount val="4"/>
                <c:pt idx="0">
                  <c:v>15.5</c:v>
                </c:pt>
                <c:pt idx="1">
                  <c:v>20.5</c:v>
                </c:pt>
                <c:pt idx="2">
                  <c:v>23.25</c:v>
                </c:pt>
                <c:pt idx="3">
                  <c:v>25.5</c:v>
                </c:pt>
              </c:numCache>
            </c:numRef>
          </c:val>
          <c:smooth val="0"/>
          <c:extLst>
            <c:ext xmlns:c16="http://schemas.microsoft.com/office/drawing/2014/chart" uri="{C3380CC4-5D6E-409C-BE32-E72D297353CC}">
              <c16:uniqueId val="{00000001-F9BB-4E7C-96B7-728D667749F4}"/>
            </c:ext>
          </c:extLst>
        </c:ser>
        <c:ser>
          <c:idx val="2"/>
          <c:order val="2"/>
          <c:tx>
            <c:strRef>
              <c:f>'Chart Data'!$D$1</c:f>
              <c:strCache>
                <c:ptCount val="1"/>
                <c:pt idx="0">
                  <c:v>SMP-0003</c:v>
                </c:pt>
              </c:strCache>
            </c:strRef>
          </c:tx>
          <c:spPr>
            <a:ln w="20160">
              <a:solidFill>
                <a:srgbClr val="2CA02C"/>
              </a:solidFill>
              <a:round/>
            </a:ln>
          </c:spPr>
          <c:marker>
            <c:symbol val="circle"/>
            <c:size val="6"/>
            <c:spPr>
              <a:solidFill>
                <a:srgbClr val="2CA02C"/>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'Chart Data'!$A$2:$A$5</c:f>
              <c:numCache>
                <c:formatCode>General</c:formatCode>
                <c:ptCount val="4"/>
                <c:pt idx="0">
                  <c:v>7</c:v>
                </c:pt>
                <c:pt idx="1">
                  <c:v>14</c:v>
                </c:pt>
                <c:pt idx="2">
                  <c:v>21</c:v>
                </c:pt>
                <c:pt idx="3">
                  <c:v>28</c:v>
                </c:pt>
              </c:numCache>
            </c:numRef>
          </c:cat>
          <c:val>
            <c:numRef>
              <c:f>'Chart Data'!$D$2:$D$5</c:f>
              <c:numCache>
                <c:formatCode>General</c:formatCode>
                <c:ptCount val="4"/>
                <c:pt idx="0">
                  <c:v>18.600000000000001</c:v>
                </c:pt>
                <c:pt idx="1">
                  <c:v>24.6</c:v>
                </c:pt>
                <c:pt idx="2">
                  <c:v>27.9</c:v>
                </c:pt>
                <c:pt idx="3">
                  <c:v>30.6</c:v>
                </c:pt>
              </c:numCache>
            </c:numRef>
          </c:val>
          <c:smooth val="0"/>
          <c:extLst>
            <c:ext xmlns:c16="http://schemas.microsoft.com/office/drawing/2014/chart" uri="{C3380CC4-5D6E-409C-BE32-E72D297353CC}">
              <c16:uniqueId val="{00000002-F9BB-4E7C-96B7-728D667749F4}"/>
            </c:ext>
          </c:extLst>
        </c:ser>
        <c:ser>
          <c:idx val="3"/>
          <c:order val="3"/>
          <c:tx>
            <c:strRef>
              <c:f>'Chart Data'!$E$1</c:f>
              <c:strCache>
                <c:ptCount val="1"/>
                <c:pt idx="0">
                  <c:v>SMP-0004</c:v>
                </c:pt>
              </c:strCache>
            </c:strRef>
          </c:tx>
          <c:spPr>
            <a:ln w="20160">
              <a:solidFill>
                <a:srgbClr val="D62728"/>
              </a:solidFill>
              <a:round/>
            </a:ln>
          </c:spPr>
          <c:marker>
            <c:symbol val="circle"/>
            <c:size val="6"/>
            <c:spPr>
              <a:solidFill>
                <a:srgbClr val="D62728"/>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'Chart Data'!$A$2:$A$5</c:f>
              <c:numCache>
                <c:formatCode>General</c:formatCode>
                <c:ptCount val="4"/>
                <c:pt idx="0">
                  <c:v>7</c:v>
                </c:pt>
                <c:pt idx="1">
                  <c:v>14</c:v>
                </c:pt>
                <c:pt idx="2">
                  <c:v>21</c:v>
                </c:pt>
                <c:pt idx="3">
                  <c:v>28</c:v>
                </c:pt>
              </c:numCache>
            </c:numRef>
          </c:cat>
          <c:val>
            <c:numRef>
              <c:f>'Chart Data'!$E$2:$E$5</c:f>
              <c:numCache>
                <c:formatCode>General</c:formatCode>
                <c:ptCount val="4"/>
                <c:pt idx="0">
                  <c:v>15.5</c:v>
                </c:pt>
                <c:pt idx="1">
                  <c:v>20.5</c:v>
                </c:pt>
                <c:pt idx="2">
                  <c:v>23.25</c:v>
                </c:pt>
                <c:pt idx="3">
                  <c:v>25.5</c:v>
                </c:pt>
              </c:numCache>
            </c:numRef>
          </c:val>
          <c:smooth val="0"/>
          <c:extLst>
            <c:ext xmlns:c16="http://schemas.microsoft.com/office/drawing/2014/chart" uri="{C3380CC4-5D6E-409C-BE32-E72D297353CC}">
              <c16:uniqueId val="{00000003-F9BB-4E7C-96B7-728D667749F4}"/>
            </c:ext>
          </c:extLst>
        </c:ser>
        <c:ser>
          <c:idx val="4"/>
          <c:order val="4"/>
          <c:tx>
            <c:strRef>
              <c:f>'Chart Data'!$F$1</c:f>
              <c:strCache>
                <c:ptCount val="1"/>
                <c:pt idx="0">
                  <c:v>SMP-0005</c:v>
                </c:pt>
              </c:strCache>
            </c:strRef>
          </c:tx>
          <c:spPr>
            <a:ln w="20160">
              <a:solidFill>
                <a:srgbClr val="9467BD"/>
              </a:solidFill>
              <a:round/>
            </a:ln>
          </c:spPr>
          <c:marker>
            <c:symbol val="circle"/>
            <c:size val="6"/>
            <c:spPr>
              <a:solidFill>
                <a:srgbClr val="9467BD"/>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'Chart Data'!$A$2:$A$5</c:f>
              <c:numCache>
                <c:formatCode>General</c:formatCode>
                <c:ptCount val="4"/>
                <c:pt idx="0">
                  <c:v>7</c:v>
                </c:pt>
                <c:pt idx="1">
                  <c:v>14</c:v>
                </c:pt>
                <c:pt idx="2">
                  <c:v>21</c:v>
                </c:pt>
                <c:pt idx="3">
                  <c:v>28</c:v>
                </c:pt>
              </c:numCache>
            </c:numRef>
          </c:cat>
          <c:val>
            <c:numRef>
              <c:f>'Chart Data'!$F$2:$F$5</c:f>
              <c:numCache>
                <c:formatCode>General</c:formatCode>
                <c:ptCount val="4"/>
                <c:pt idx="0">
                  <c:v>12.4</c:v>
                </c:pt>
                <c:pt idx="1">
                  <c:v>16.399999999999999</c:v>
                </c:pt>
                <c:pt idx="2">
                  <c:v>18.600000000000001</c:v>
                </c:pt>
                <c:pt idx="3">
                  <c:v>20.399999999999999</c:v>
                </c:pt>
              </c:numCache>
            </c:numRef>
          </c:val>
          <c:smooth val="0"/>
          <c:extLst>
            <c:ext xmlns:c16="http://schemas.microsoft.com/office/drawing/2014/chart" uri="{C3380CC4-5D6E-409C-BE32-E72D297353CC}">
              <c16:uniqueId val="{00000004-F9BB-4E7C-96B7-728D667749F4}"/>
            </c:ext>
          </c:extLst>
        </c:ser>
        <c:ser>
          <c:idx val="5"/>
          <c:order val="5"/>
          <c:tx>
            <c:strRef>
              <c:f>'Chart Data'!$G$1</c:f>
              <c:strCache>
                <c:ptCount val="1"/>
                <c:pt idx="0">
                  <c:v>SMP-0006</c:v>
                </c:pt>
              </c:strCache>
            </c:strRef>
          </c:tx>
          <c:spPr>
            <a:ln w="20160">
              <a:solidFill>
                <a:srgbClr val="8C564B"/>
              </a:solidFill>
              <a:round/>
            </a:ln>
          </c:spPr>
          <c:marker>
            <c:symbol val="circle"/>
            <c:size val="6"/>
            <c:spPr>
              <a:solidFill>
                <a:srgbClr val="8C564B"/>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'Chart Data'!$A$2:$A$5</c:f>
              <c:numCache>
                <c:formatCode>General</c:formatCode>
                <c:ptCount val="4"/>
                <c:pt idx="0">
                  <c:v>7</c:v>
                </c:pt>
                <c:pt idx="1">
                  <c:v>14</c:v>
                </c:pt>
                <c:pt idx="2">
                  <c:v>21</c:v>
                </c:pt>
                <c:pt idx="3">
                  <c:v>28</c:v>
                </c:pt>
              </c:numCache>
            </c:numRef>
          </c:cat>
          <c:val>
            <c:numRef>
              <c:f>'Chart Data'!$G$2:$G$5</c:f>
              <c:numCache>
                <c:formatCode>General</c:formatCode>
                <c:ptCount val="4"/>
                <c:pt idx="0">
                  <c:v>21.7</c:v>
                </c:pt>
                <c:pt idx="1">
                  <c:v>28.7</c:v>
                </c:pt>
                <c:pt idx="2">
                  <c:v>32.549999999999997</c:v>
                </c:pt>
                <c:pt idx="3">
                  <c:v>35.700000000000003</c:v>
                </c:pt>
              </c:numCache>
            </c:numRef>
          </c:val>
          <c:smooth val="0"/>
          <c:extLst>
            <c:ext xmlns:c16="http://schemas.microsoft.com/office/drawing/2014/chart" uri="{C3380CC4-5D6E-409C-BE32-E72D297353CC}">
              <c16:uniqueId val="{00000005-F9BB-4E7C-96B7-728D667749F4}"/>
            </c:ext>
          </c:extLst>
        </c:ser>
        <c:dLbls>
          <c:showLegendKey val="0"/>
          <c:showVal val="0"/>
          <c:showCatName val="0"/>
          <c:showSerName val="0"/>
          <c:showPercent val="0"/>
          <c:showBubbleSize val="0"/>
        </c:dLbls>
        <c:hiLowLines>
          <c:spPr>
            <a:ln w="0">
              <a:noFill/>
            </a:ln>
          </c:spPr>
        </c:hiLowLines>
        <c:marker val="1"/>
        <c:smooth val="0"/>
        <c:axId val="4510766"/>
        <c:axId val="41702446"/>
      </c:lineChart>
      <c:catAx>
        <c:axId val="4510766"/>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Curing Age (days)</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1702446"/>
        <c:crosses val="autoZero"/>
        <c:auto val="1"/>
        <c:lblAlgn val="ctr"/>
        <c:lblOffset val="100"/>
        <c:noMultiLvlLbl val="0"/>
      </c:catAx>
      <c:valAx>
        <c:axId val="41702446"/>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Compressive Strength (N/mm2)</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51076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400" b="1" strike="noStrike" spc="-1">
                <a:solidFill>
                  <a:srgbClr val="000000"/>
                </a:solidFill>
                <a:latin typeface="Calibri"/>
              </a:defRPr>
            </a:pPr>
            <a:r>
              <a:rPr lang="en-US" sz="1400" b="1" strike="noStrike" spc="-1">
                <a:solidFill>
                  <a:srgbClr val="000000"/>
                </a:solidFill>
                <a:latin typeface="Calibri"/>
              </a:rPr>
              <a:t>Figure 6.3: Distribution of compressive strength test outcomes across all recorded tests</a:t>
            </a:r>
          </a:p>
        </c:rich>
      </c:tx>
      <c:overlay val="0"/>
      <c:spPr>
        <a:noFill/>
        <a:ln w="0">
          <a:noFill/>
        </a:ln>
      </c:spPr>
    </c:title>
    <c:autoTitleDeleted val="0"/>
    <c:plotArea>
      <c:layout/>
      <c:pieChart>
        <c:varyColors val="1"/>
        <c:ser>
          <c:idx val="0"/>
          <c:order val="0"/>
          <c:tx>
            <c:strRef>
              <c:f>'Chart Data'!$B$7</c:f>
              <c:strCache>
                <c:ptCount val="1"/>
                <c:pt idx="0">
                  <c:v>Count</c:v>
                </c:pt>
              </c:strCache>
            </c:strRef>
          </c:tx>
          <c:spPr>
            <a:solidFill>
              <a:srgbClr val="4F81BD"/>
            </a:solidFill>
            <a:ln w="0">
              <a:noFill/>
            </a:ln>
          </c:spPr>
          <c:dPt>
            <c:idx val="0"/>
            <c:bubble3D val="0"/>
            <c:spPr>
              <a:solidFill>
                <a:srgbClr val="70AD47"/>
              </a:solidFill>
              <a:ln w="0">
                <a:noFill/>
              </a:ln>
            </c:spPr>
            <c:extLst>
              <c:ext xmlns:c16="http://schemas.microsoft.com/office/drawing/2014/chart" uri="{C3380CC4-5D6E-409C-BE32-E72D297353CC}">
                <c16:uniqueId val="{00000001-0E42-45E6-B474-8DC904DE2F1F}"/>
              </c:ext>
            </c:extLst>
          </c:dPt>
          <c:dPt>
            <c:idx val="1"/>
            <c:bubble3D val="0"/>
            <c:spPr>
              <a:solidFill>
                <a:srgbClr val="C00000"/>
              </a:solidFill>
              <a:ln w="0">
                <a:noFill/>
              </a:ln>
            </c:spPr>
            <c:extLst>
              <c:ext xmlns:c16="http://schemas.microsoft.com/office/drawing/2014/chart" uri="{C3380CC4-5D6E-409C-BE32-E72D297353CC}">
                <c16:uniqueId val="{00000003-0E42-45E6-B474-8DC904DE2F1F}"/>
              </c:ext>
            </c:extLst>
          </c:dPt>
          <c:dPt>
            <c:idx val="2"/>
            <c:bubble3D val="0"/>
            <c:spPr>
              <a:solidFill>
                <a:srgbClr val="BFBFBF"/>
              </a:solidFill>
              <a:ln w="0">
                <a:noFill/>
              </a:ln>
            </c:spPr>
            <c:extLst>
              <c:ext xmlns:c16="http://schemas.microsoft.com/office/drawing/2014/chart" uri="{C3380CC4-5D6E-409C-BE32-E72D297353CC}">
                <c16:uniqueId val="{00000005-0E42-45E6-B474-8DC904DE2F1F}"/>
              </c:ext>
            </c:extLst>
          </c:dPt>
          <c:dLbls>
            <c:dLbl>
              <c:idx val="0"/>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6="http://schemas.microsoft.com/office/drawing/2014/chart" uri="{C3380CC4-5D6E-409C-BE32-E72D297353CC}">
                  <c16:uniqueId val="{00000001-0E42-45E6-B474-8DC904DE2F1F}"/>
                </c:ext>
              </c:extLst>
            </c:dLbl>
            <c:dLbl>
              <c:idx val="1"/>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6="http://schemas.microsoft.com/office/drawing/2014/chart" uri="{C3380CC4-5D6E-409C-BE32-E72D297353CC}">
                  <c16:uniqueId val="{00000003-0E42-45E6-B474-8DC904DE2F1F}"/>
                </c:ext>
              </c:extLst>
            </c:dLbl>
            <c:dLbl>
              <c:idx val="2"/>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6="http://schemas.microsoft.com/office/drawing/2014/chart" uri="{C3380CC4-5D6E-409C-BE32-E72D297353CC}">
                  <c16:uniqueId val="{00000005-0E42-45E6-B474-8DC904DE2F1F}"/>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separator>; </c:separator>
            <c:showLeaderLines val="1"/>
            <c:extLst>
              <c:ext xmlns:c15="http://schemas.microsoft.com/office/drawing/2012/chart" uri="{CE6537A1-D6FC-4f65-9D91-7224C49458BB}"/>
            </c:extLst>
          </c:dLbls>
          <c:cat>
            <c:strRef>
              <c:f>'Chart Data'!$A$8:$A$10</c:f>
              <c:strCache>
                <c:ptCount val="3"/>
                <c:pt idx="0">
                  <c:v>Pass</c:v>
                </c:pt>
                <c:pt idx="1">
                  <c:v>Fail - Non-Conforming</c:v>
                </c:pt>
                <c:pt idx="2">
                  <c:v>In Progress</c:v>
                </c:pt>
              </c:strCache>
            </c:strRef>
          </c:cat>
          <c:val>
            <c:numRef>
              <c:f>'Chart Data'!$B$8:$B$10</c:f>
              <c:numCache>
                <c:formatCode>General</c:formatCode>
                <c:ptCount val="3"/>
                <c:pt idx="0">
                  <c:v>17</c:v>
                </c:pt>
                <c:pt idx="1">
                  <c:v>3</c:v>
                </c:pt>
                <c:pt idx="2">
                  <c:v>18</c:v>
                </c:pt>
              </c:numCache>
            </c:numRef>
          </c:val>
          <c:extLst>
            <c:ext xmlns:c16="http://schemas.microsoft.com/office/drawing/2014/chart" uri="{C3380CC4-5D6E-409C-BE32-E72D297353CC}">
              <c16:uniqueId val="{00000006-0E42-45E6-B474-8DC904DE2F1F}"/>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400" b="1" strike="noStrike" spc="-1">
                <a:solidFill>
                  <a:srgbClr val="000000"/>
                </a:solidFill>
                <a:latin typeface="Calibri"/>
              </a:defRPr>
            </a:pPr>
            <a:r>
              <a:rPr lang="en-US" sz="1400" b="1" strike="noStrike" spc="-1">
                <a:solidFill>
                  <a:srgbClr val="000000"/>
                </a:solidFill>
                <a:latin typeface="Calibri"/>
              </a:rPr>
              <a:t>Figure 6.4: Non-conformance comparison between the slump test and the 28-day compressive strength test</a:t>
            </a:r>
          </a:p>
        </c:rich>
      </c:tx>
      <c:overlay val="0"/>
      <c:spPr>
        <a:noFill/>
        <a:ln w="0">
          <a:noFill/>
        </a:ln>
      </c:spPr>
    </c:title>
    <c:autoTitleDeleted val="0"/>
    <c:plotArea>
      <c:layout/>
      <c:barChart>
        <c:barDir val="col"/>
        <c:grouping val="clustered"/>
        <c:varyColors val="0"/>
        <c:ser>
          <c:idx val="0"/>
          <c:order val="0"/>
          <c:tx>
            <c:strRef>
              <c:f>'Chart Data'!$B$12</c:f>
              <c:strCache>
                <c:ptCount val="1"/>
                <c:pt idx="0">
                  <c:v>Non-Conforming Count</c:v>
                </c:pt>
              </c:strCache>
            </c:strRef>
          </c:tx>
          <c:spPr>
            <a:solidFill>
              <a:srgbClr val="4472C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 Data'!$A$13:$A$14</c:f>
              <c:strCache>
                <c:ptCount val="2"/>
                <c:pt idx="0">
                  <c:v>Slump Test</c:v>
                </c:pt>
                <c:pt idx="1">
                  <c:v>Compressive Strength Test</c:v>
                </c:pt>
              </c:strCache>
            </c:strRef>
          </c:cat>
          <c:val>
            <c:numRef>
              <c:f>'Chart Data'!$B$13:$B$14</c:f>
              <c:numCache>
                <c:formatCode>General</c:formatCode>
                <c:ptCount val="2"/>
                <c:pt idx="0">
                  <c:v>3</c:v>
                </c:pt>
                <c:pt idx="1">
                  <c:v>3</c:v>
                </c:pt>
              </c:numCache>
            </c:numRef>
          </c:val>
          <c:extLst>
            <c:ext xmlns:c16="http://schemas.microsoft.com/office/drawing/2014/chart" uri="{C3380CC4-5D6E-409C-BE32-E72D297353CC}">
              <c16:uniqueId val="{00000000-B494-497B-A41E-21DD0B2C35C5}"/>
            </c:ext>
          </c:extLst>
        </c:ser>
        <c:dLbls>
          <c:showLegendKey val="0"/>
          <c:showVal val="0"/>
          <c:showCatName val="0"/>
          <c:showSerName val="0"/>
          <c:showPercent val="0"/>
          <c:showBubbleSize val="0"/>
        </c:dLbls>
        <c:gapWidth val="150"/>
        <c:axId val="10114991"/>
        <c:axId val="31126580"/>
      </c:barChart>
      <c:catAx>
        <c:axId val="10114991"/>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1126580"/>
        <c:crosses val="autoZero"/>
        <c:auto val="1"/>
        <c:lblAlgn val="ctr"/>
        <c:lblOffset val="100"/>
        <c:noMultiLvlLbl val="0"/>
      </c:catAx>
      <c:valAx>
        <c:axId val="31126580"/>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Non-Conforming Count</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011499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137160</xdr:colOff>
      <xdr:row>1</xdr:row>
      <xdr:rowOff>22860</xdr:rowOff>
    </xdr:from>
    <xdr:to>
      <xdr:col>12</xdr:col>
      <xdr:colOff>15840</xdr:colOff>
      <xdr:row>18</xdr:row>
      <xdr:rowOff>23940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106680</xdr:colOff>
      <xdr:row>19</xdr:row>
      <xdr:rowOff>137160</xdr:rowOff>
    </xdr:from>
    <xdr:to>
      <xdr:col>11</xdr:col>
      <xdr:colOff>579720</xdr:colOff>
      <xdr:row>36</xdr:row>
      <xdr:rowOff>138600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121920</xdr:colOff>
      <xdr:row>38</xdr:row>
      <xdr:rowOff>167640</xdr:rowOff>
    </xdr:from>
    <xdr:to>
      <xdr:col>8</xdr:col>
      <xdr:colOff>269520</xdr:colOff>
      <xdr:row>55</xdr:row>
      <xdr:rowOff>168720</xdr:rowOff>
    </xdr:to>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144780</xdr:colOff>
      <xdr:row>57</xdr:row>
      <xdr:rowOff>0</xdr:rowOff>
    </xdr:from>
    <xdr:to>
      <xdr:col>8</xdr:col>
      <xdr:colOff>292380</xdr:colOff>
      <xdr:row>74</xdr:row>
      <xdr:rowOff>1440</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showGridLines="0" zoomScaleNormal="100" workbookViewId="0">
      <pane ySplit="5" topLeftCell="A6" activePane="bottomLeft" state="frozen"/>
      <selection pane="bottomLeft" activeCell="B8" sqref="B8"/>
    </sheetView>
  </sheetViews>
  <sheetFormatPr defaultColWidth="8.6640625" defaultRowHeight="14.4" x14ac:dyDescent="0.3"/>
  <cols>
    <col min="1" max="1" width="30" customWidth="1"/>
    <col min="2" max="2" width="90" customWidth="1"/>
  </cols>
  <sheetData>
    <row r="1" spans="1:2" ht="24" customHeight="1" x14ac:dyDescent="0.3">
      <c r="A1" s="5" t="s">
        <v>0</v>
      </c>
      <c r="B1" s="5"/>
    </row>
    <row r="2" spans="1:2" ht="15.75" customHeight="1" x14ac:dyDescent="0.3">
      <c r="A2" s="4" t="s">
        <v>1</v>
      </c>
      <c r="B2" s="4"/>
    </row>
    <row r="4" spans="1:2" ht="84.75" customHeight="1" x14ac:dyDescent="0.3">
      <c r="A4" s="3" t="s">
        <v>2</v>
      </c>
      <c r="B4" s="3"/>
    </row>
    <row r="6" spans="1:2" ht="14.25" customHeight="1" x14ac:dyDescent="0.3">
      <c r="A6" s="7" t="s">
        <v>3</v>
      </c>
      <c r="B6" s="7" t="s">
        <v>4</v>
      </c>
    </row>
    <row r="7" spans="1:2" ht="14.25" customHeight="1" x14ac:dyDescent="0.3">
      <c r="A7" s="2" t="s">
        <v>5</v>
      </c>
      <c r="B7" s="2"/>
    </row>
    <row r="8" spans="1:2" ht="14.25" customHeight="1" x14ac:dyDescent="0.3">
      <c r="A8" s="8" t="s">
        <v>6</v>
      </c>
      <c r="B8" s="9" t="s">
        <v>7</v>
      </c>
    </row>
    <row r="9" spans="1:2" ht="14.25" customHeight="1" x14ac:dyDescent="0.3">
      <c r="A9" s="8" t="s">
        <v>8</v>
      </c>
      <c r="B9" s="9" t="s">
        <v>9</v>
      </c>
    </row>
    <row r="10" spans="1:2" ht="27" customHeight="1" x14ac:dyDescent="0.3">
      <c r="A10" s="8" t="s">
        <v>10</v>
      </c>
      <c r="B10" s="9" t="s">
        <v>11</v>
      </c>
    </row>
    <row r="11" spans="1:2" ht="14.25" customHeight="1" x14ac:dyDescent="0.3">
      <c r="A11" s="8" t="s">
        <v>12</v>
      </c>
      <c r="B11" s="9" t="s">
        <v>13</v>
      </c>
    </row>
    <row r="12" spans="1:2" ht="27" customHeight="1" x14ac:dyDescent="0.3">
      <c r="A12" s="8" t="s">
        <v>14</v>
      </c>
      <c r="B12" s="9" t="s">
        <v>15</v>
      </c>
    </row>
    <row r="13" spans="1:2" ht="14.25" customHeight="1" x14ac:dyDescent="0.3">
      <c r="A13" s="2" t="s">
        <v>16</v>
      </c>
      <c r="B13" s="2"/>
    </row>
    <row r="14" spans="1:2" ht="14.25" customHeight="1" x14ac:dyDescent="0.3">
      <c r="A14" s="8" t="s">
        <v>17</v>
      </c>
      <c r="B14" s="9" t="s">
        <v>18</v>
      </c>
    </row>
    <row r="15" spans="1:2" ht="14.25" customHeight="1" x14ac:dyDescent="0.3">
      <c r="A15" s="8" t="s">
        <v>19</v>
      </c>
      <c r="B15" s="9" t="s">
        <v>20</v>
      </c>
    </row>
    <row r="16" spans="1:2" ht="14.25" customHeight="1" x14ac:dyDescent="0.3">
      <c r="A16" s="8" t="s">
        <v>21</v>
      </c>
      <c r="B16" s="9" t="s">
        <v>22</v>
      </c>
    </row>
    <row r="17" spans="1:2" ht="14.25" customHeight="1" x14ac:dyDescent="0.3">
      <c r="A17" s="8" t="s">
        <v>23</v>
      </c>
      <c r="B17" s="9" t="s">
        <v>24</v>
      </c>
    </row>
    <row r="19" spans="1:2" ht="14.25" customHeight="1" x14ac:dyDescent="0.3">
      <c r="A19" s="10" t="s">
        <v>25</v>
      </c>
    </row>
    <row r="20" spans="1:2" ht="14.25" customHeight="1" x14ac:dyDescent="0.3">
      <c r="A20" s="11"/>
      <c r="B20" s="6" t="s">
        <v>26</v>
      </c>
    </row>
    <row r="21" spans="1:2" ht="14.25" customHeight="1" x14ac:dyDescent="0.3">
      <c r="A21" s="12"/>
      <c r="B21" s="6" t="s">
        <v>27</v>
      </c>
    </row>
    <row r="22" spans="1:2" ht="14.25" customHeight="1" x14ac:dyDescent="0.3">
      <c r="A22" s="10" t="s">
        <v>28</v>
      </c>
      <c r="B22" s="6" t="s">
        <v>29</v>
      </c>
    </row>
  </sheetData>
  <mergeCells count="5">
    <mergeCell ref="A1:B1"/>
    <mergeCell ref="A2:B2"/>
    <mergeCell ref="A4:B4"/>
    <mergeCell ref="A7:B7"/>
    <mergeCell ref="A13:B1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
  <sheetViews>
    <sheetView showGridLines="0" zoomScaleNormal="100" workbookViewId="0">
      <selection activeCell="A10" sqref="A10"/>
    </sheetView>
  </sheetViews>
  <sheetFormatPr defaultColWidth="8.6640625" defaultRowHeight="14.4" x14ac:dyDescent="0.3"/>
  <cols>
    <col min="1" max="4" width="22" customWidth="1"/>
  </cols>
  <sheetData>
    <row r="1" spans="1:4" ht="14.25" customHeight="1" x14ac:dyDescent="0.3">
      <c r="A1" s="13" t="s">
        <v>30</v>
      </c>
      <c r="B1" s="13" t="s">
        <v>31</v>
      </c>
      <c r="C1" s="13" t="s">
        <v>32</v>
      </c>
      <c r="D1" s="13" t="s">
        <v>33</v>
      </c>
    </row>
    <row r="2" spans="1:4" ht="14.25" customHeight="1" x14ac:dyDescent="0.3">
      <c r="A2" s="14" t="s">
        <v>34</v>
      </c>
      <c r="B2" s="14" t="s">
        <v>35</v>
      </c>
      <c r="C2" s="14" t="s">
        <v>36</v>
      </c>
      <c r="D2" s="14" t="s">
        <v>37</v>
      </c>
    </row>
    <row r="3" spans="1:4" ht="14.25" customHeight="1" x14ac:dyDescent="0.3">
      <c r="A3" s="14" t="s">
        <v>38</v>
      </c>
      <c r="B3" s="14" t="s">
        <v>39</v>
      </c>
      <c r="C3" s="14" t="s">
        <v>40</v>
      </c>
      <c r="D3" s="14" t="s">
        <v>41</v>
      </c>
    </row>
    <row r="4" spans="1:4" ht="14.25" customHeight="1" x14ac:dyDescent="0.3">
      <c r="A4" s="14" t="s">
        <v>42</v>
      </c>
      <c r="B4" s="14" t="s">
        <v>43</v>
      </c>
      <c r="C4" s="14" t="s">
        <v>44</v>
      </c>
      <c r="D4" s="14" t="s">
        <v>45</v>
      </c>
    </row>
    <row r="5" spans="1:4" ht="14.25" customHeight="1" x14ac:dyDescent="0.3">
      <c r="B5" s="14" t="s">
        <v>46</v>
      </c>
      <c r="C5" s="14" t="s">
        <v>47</v>
      </c>
      <c r="D5" s="14" t="s">
        <v>48</v>
      </c>
    </row>
    <row r="6" spans="1:4" ht="14.25" customHeight="1" x14ac:dyDescent="0.3">
      <c r="B6" s="14" t="s">
        <v>49</v>
      </c>
    </row>
    <row r="7" spans="1:4" ht="14.25" customHeight="1" x14ac:dyDescent="0.3">
      <c r="B7" s="14" t="s">
        <v>50</v>
      </c>
    </row>
    <row r="10" spans="1:4" ht="14.25" customHeight="1" x14ac:dyDescent="0.3">
      <c r="A10" s="1" t="s">
        <v>51</v>
      </c>
      <c r="B10" s="1"/>
      <c r="C10" s="1"/>
      <c r="D10" s="1"/>
    </row>
  </sheetData>
  <mergeCells count="1">
    <mergeCell ref="A10:D10"/>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4"/>
  <sheetViews>
    <sheetView showGridLines="0" zoomScaleNormal="100" workbookViewId="0">
      <pane ySplit="4" topLeftCell="A11" activePane="bottomLeft" state="frozen"/>
      <selection pane="bottomLeft"/>
    </sheetView>
  </sheetViews>
  <sheetFormatPr defaultColWidth="8.6640625" defaultRowHeight="14.4" x14ac:dyDescent="0.3"/>
  <cols>
    <col min="1" max="1" width="12" customWidth="1"/>
    <col min="2" max="2" width="30" customWidth="1"/>
    <col min="3" max="4" width="12" customWidth="1"/>
    <col min="5" max="7" width="14" customWidth="1"/>
    <col min="8" max="8" width="16" customWidth="1"/>
    <col min="9" max="9" width="26" customWidth="1"/>
  </cols>
  <sheetData>
    <row r="1" spans="1:9" ht="24" customHeight="1" x14ac:dyDescent="0.3">
      <c r="A1" s="5" t="s">
        <v>52</v>
      </c>
      <c r="B1" s="5"/>
      <c r="C1" s="5"/>
      <c r="D1" s="5"/>
      <c r="E1" s="5"/>
      <c r="F1" s="5"/>
      <c r="G1" s="5"/>
      <c r="H1" s="5"/>
      <c r="I1" s="5"/>
    </row>
    <row r="2" spans="1:9" ht="15.75" customHeight="1" x14ac:dyDescent="0.3">
      <c r="A2" s="4" t="s">
        <v>53</v>
      </c>
      <c r="B2" s="4"/>
      <c r="C2" s="4"/>
      <c r="D2" s="4"/>
      <c r="E2" s="4"/>
      <c r="F2" s="4"/>
      <c r="G2" s="4"/>
      <c r="H2" s="4"/>
      <c r="I2" s="4"/>
    </row>
    <row r="4" spans="1:9" ht="27.75" customHeight="1" x14ac:dyDescent="0.3">
      <c r="A4" s="15" t="s">
        <v>54</v>
      </c>
      <c r="B4" s="15" t="s">
        <v>55</v>
      </c>
      <c r="C4" s="15" t="s">
        <v>56</v>
      </c>
      <c r="D4" s="15" t="s">
        <v>57</v>
      </c>
      <c r="E4" s="15" t="s">
        <v>58</v>
      </c>
      <c r="F4" s="15" t="s">
        <v>31</v>
      </c>
      <c r="G4" s="15" t="s">
        <v>59</v>
      </c>
      <c r="H4" s="15" t="s">
        <v>30</v>
      </c>
      <c r="I4" s="15" t="s">
        <v>60</v>
      </c>
    </row>
    <row r="5" spans="1:9" ht="27" customHeight="1" x14ac:dyDescent="0.3">
      <c r="A5" s="16" t="s">
        <v>61</v>
      </c>
      <c r="B5" s="16" t="s">
        <v>62</v>
      </c>
      <c r="C5" s="16" t="s">
        <v>63</v>
      </c>
      <c r="D5" s="16" t="s">
        <v>64</v>
      </c>
      <c r="E5" s="16" t="s">
        <v>65</v>
      </c>
      <c r="F5" s="16" t="s">
        <v>39</v>
      </c>
      <c r="G5" s="16" t="s">
        <v>66</v>
      </c>
      <c r="H5" s="16" t="s">
        <v>34</v>
      </c>
      <c r="I5" s="16" t="s">
        <v>67</v>
      </c>
    </row>
    <row r="6" spans="1:9" ht="14.25" customHeight="1" x14ac:dyDescent="0.3">
      <c r="A6" s="16" t="s">
        <v>68</v>
      </c>
      <c r="B6" s="16" t="s">
        <v>69</v>
      </c>
      <c r="C6" s="16" t="s">
        <v>70</v>
      </c>
      <c r="D6" s="16" t="s">
        <v>71</v>
      </c>
      <c r="E6" s="16" t="s">
        <v>72</v>
      </c>
      <c r="F6" s="16" t="s">
        <v>43</v>
      </c>
      <c r="G6" s="16" t="s">
        <v>73</v>
      </c>
      <c r="H6" s="16" t="s">
        <v>34</v>
      </c>
      <c r="I6" s="16" t="s">
        <v>74</v>
      </c>
    </row>
    <row r="7" spans="1:9" ht="14.25" customHeight="1" x14ac:dyDescent="0.3">
      <c r="A7" s="16" t="s">
        <v>75</v>
      </c>
      <c r="B7" s="16" t="s">
        <v>76</v>
      </c>
      <c r="C7" s="16" t="s">
        <v>77</v>
      </c>
      <c r="D7" s="16" t="s">
        <v>78</v>
      </c>
      <c r="E7" s="16" t="s">
        <v>79</v>
      </c>
      <c r="F7" s="16" t="s">
        <v>46</v>
      </c>
      <c r="G7" s="16" t="s">
        <v>80</v>
      </c>
      <c r="H7" s="16" t="s">
        <v>38</v>
      </c>
      <c r="I7" s="16" t="s">
        <v>81</v>
      </c>
    </row>
    <row r="8" spans="1:9" ht="27" customHeight="1" x14ac:dyDescent="0.3">
      <c r="A8" s="16" t="s">
        <v>82</v>
      </c>
      <c r="B8" s="16" t="s">
        <v>83</v>
      </c>
      <c r="C8" s="16" t="s">
        <v>84</v>
      </c>
      <c r="D8" s="16" t="s">
        <v>85</v>
      </c>
      <c r="E8" s="16" t="s">
        <v>86</v>
      </c>
      <c r="F8" s="16" t="s">
        <v>43</v>
      </c>
      <c r="G8" s="16" t="s">
        <v>87</v>
      </c>
      <c r="H8" s="16" t="s">
        <v>34</v>
      </c>
      <c r="I8" s="16" t="s">
        <v>88</v>
      </c>
    </row>
    <row r="9" spans="1:9" ht="27" customHeight="1" x14ac:dyDescent="0.3">
      <c r="A9" s="16" t="s">
        <v>89</v>
      </c>
      <c r="B9" s="16" t="s">
        <v>90</v>
      </c>
      <c r="C9" s="16" t="s">
        <v>91</v>
      </c>
      <c r="D9" s="16" t="s">
        <v>64</v>
      </c>
      <c r="E9" s="16" t="s">
        <v>92</v>
      </c>
      <c r="F9" s="16" t="s">
        <v>39</v>
      </c>
      <c r="G9" s="16" t="s">
        <v>93</v>
      </c>
      <c r="H9" s="16" t="s">
        <v>42</v>
      </c>
      <c r="I9" s="16" t="s">
        <v>94</v>
      </c>
    </row>
    <row r="10" spans="1:9" ht="14.25" customHeight="1" x14ac:dyDescent="0.3">
      <c r="A10" s="16" t="s">
        <v>95</v>
      </c>
      <c r="B10" s="16" t="s">
        <v>96</v>
      </c>
      <c r="C10" s="16" t="s">
        <v>97</v>
      </c>
      <c r="D10" s="16" t="s">
        <v>71</v>
      </c>
      <c r="E10" s="16" t="s">
        <v>98</v>
      </c>
      <c r="F10" s="16" t="s">
        <v>49</v>
      </c>
      <c r="G10" s="16" t="s">
        <v>99</v>
      </c>
      <c r="H10" s="16" t="s">
        <v>38</v>
      </c>
      <c r="I10" s="16" t="s">
        <v>100</v>
      </c>
    </row>
    <row r="11" spans="1:9" ht="14.25" customHeight="1" x14ac:dyDescent="0.3">
      <c r="A11" s="16" t="s">
        <v>101</v>
      </c>
      <c r="B11" s="16" t="s">
        <v>102</v>
      </c>
      <c r="C11" s="16" t="s">
        <v>103</v>
      </c>
      <c r="D11" s="16" t="s">
        <v>78</v>
      </c>
      <c r="E11" s="16" t="s">
        <v>104</v>
      </c>
      <c r="F11" s="16" t="s">
        <v>43</v>
      </c>
      <c r="G11" s="16" t="s">
        <v>105</v>
      </c>
      <c r="H11" s="16" t="s">
        <v>34</v>
      </c>
      <c r="I11" s="16" t="s">
        <v>106</v>
      </c>
    </row>
    <row r="12" spans="1:9" ht="14.25" customHeight="1" x14ac:dyDescent="0.3">
      <c r="A12" s="16" t="s">
        <v>107</v>
      </c>
      <c r="B12" s="16" t="s">
        <v>108</v>
      </c>
      <c r="C12" s="16" t="s">
        <v>109</v>
      </c>
      <c r="D12" s="16" t="s">
        <v>85</v>
      </c>
      <c r="E12" s="16" t="s">
        <v>110</v>
      </c>
      <c r="F12" s="16" t="s">
        <v>46</v>
      </c>
      <c r="G12" s="16" t="s">
        <v>111</v>
      </c>
      <c r="H12" s="16" t="s">
        <v>38</v>
      </c>
      <c r="I12" s="16" t="s">
        <v>112</v>
      </c>
    </row>
    <row r="13" spans="1:9" ht="14.25" customHeight="1" x14ac:dyDescent="0.3">
      <c r="A13" s="16" t="s">
        <v>113</v>
      </c>
      <c r="B13" s="16" t="s">
        <v>114</v>
      </c>
      <c r="C13" s="16" t="s">
        <v>115</v>
      </c>
      <c r="D13" s="16" t="s">
        <v>64</v>
      </c>
      <c r="E13" s="16" t="s">
        <v>116</v>
      </c>
      <c r="F13" s="16" t="s">
        <v>39</v>
      </c>
      <c r="G13" s="16" t="s">
        <v>117</v>
      </c>
      <c r="H13" s="16" t="s">
        <v>34</v>
      </c>
      <c r="I13" s="16" t="s">
        <v>118</v>
      </c>
    </row>
    <row r="14" spans="1:9" ht="14.25" customHeight="1" x14ac:dyDescent="0.3">
      <c r="A14" s="16" t="s">
        <v>119</v>
      </c>
      <c r="B14" s="16" t="s">
        <v>120</v>
      </c>
      <c r="C14" s="16" t="s">
        <v>121</v>
      </c>
      <c r="D14" s="16" t="s">
        <v>71</v>
      </c>
      <c r="E14" s="16" t="s">
        <v>122</v>
      </c>
      <c r="F14" s="16" t="s">
        <v>43</v>
      </c>
      <c r="G14" s="16" t="s">
        <v>123</v>
      </c>
      <c r="H14" s="16" t="s">
        <v>42</v>
      </c>
      <c r="I14" s="16" t="s">
        <v>124</v>
      </c>
    </row>
    <row r="15" spans="1:9" ht="14.25" customHeight="1" x14ac:dyDescent="0.3">
      <c r="A15" s="16" t="s">
        <v>125</v>
      </c>
      <c r="B15" s="16" t="s">
        <v>126</v>
      </c>
      <c r="C15" s="16" t="s">
        <v>127</v>
      </c>
      <c r="D15" s="16" t="s">
        <v>78</v>
      </c>
      <c r="E15" s="16" t="s">
        <v>128</v>
      </c>
      <c r="F15" s="16" t="s">
        <v>46</v>
      </c>
      <c r="G15" s="16" t="s">
        <v>66</v>
      </c>
      <c r="H15" s="16" t="s">
        <v>34</v>
      </c>
      <c r="I15" s="16" t="s">
        <v>67</v>
      </c>
    </row>
    <row r="16" spans="1:9" ht="14.25" customHeight="1" x14ac:dyDescent="0.3">
      <c r="A16" s="16" t="s">
        <v>129</v>
      </c>
      <c r="B16" s="16" t="s">
        <v>130</v>
      </c>
      <c r="C16" s="16" t="s">
        <v>131</v>
      </c>
      <c r="D16" s="16" t="s">
        <v>85</v>
      </c>
      <c r="E16" s="16" t="s">
        <v>132</v>
      </c>
      <c r="F16" s="16" t="s">
        <v>43</v>
      </c>
      <c r="G16" s="16" t="s">
        <v>73</v>
      </c>
      <c r="H16" s="16" t="s">
        <v>34</v>
      </c>
      <c r="I16" s="16" t="s">
        <v>74</v>
      </c>
    </row>
    <row r="17" spans="1:9" ht="14.25" customHeight="1" x14ac:dyDescent="0.3">
      <c r="A17" s="16" t="s">
        <v>133</v>
      </c>
      <c r="B17" s="16" t="s">
        <v>134</v>
      </c>
      <c r="C17" s="16" t="s">
        <v>135</v>
      </c>
      <c r="D17" s="16" t="s">
        <v>64</v>
      </c>
      <c r="E17" s="16" t="s">
        <v>136</v>
      </c>
      <c r="F17" s="16" t="s">
        <v>39</v>
      </c>
      <c r="G17" s="16" t="s">
        <v>80</v>
      </c>
      <c r="H17" s="16" t="s">
        <v>38</v>
      </c>
      <c r="I17" s="16" t="s">
        <v>81</v>
      </c>
    </row>
    <row r="18" spans="1:9" ht="27" customHeight="1" x14ac:dyDescent="0.3">
      <c r="A18" s="16" t="s">
        <v>137</v>
      </c>
      <c r="B18" s="16" t="s">
        <v>138</v>
      </c>
      <c r="C18" s="16" t="s">
        <v>139</v>
      </c>
      <c r="D18" s="16" t="s">
        <v>71</v>
      </c>
      <c r="E18" s="16" t="s">
        <v>140</v>
      </c>
      <c r="F18" s="16" t="s">
        <v>49</v>
      </c>
      <c r="G18" s="16" t="s">
        <v>87</v>
      </c>
      <c r="H18" s="16" t="s">
        <v>34</v>
      </c>
      <c r="I18" s="16" t="s">
        <v>88</v>
      </c>
    </row>
    <row r="19" spans="1:9" ht="27" customHeight="1" x14ac:dyDescent="0.3">
      <c r="A19" s="16" t="s">
        <v>141</v>
      </c>
      <c r="B19" s="16" t="s">
        <v>142</v>
      </c>
      <c r="C19" s="16" t="s">
        <v>143</v>
      </c>
      <c r="D19" s="16" t="s">
        <v>78</v>
      </c>
      <c r="E19" s="16" t="s">
        <v>144</v>
      </c>
      <c r="F19" s="16" t="s">
        <v>43</v>
      </c>
      <c r="G19" s="16" t="s">
        <v>93</v>
      </c>
      <c r="H19" s="16" t="s">
        <v>42</v>
      </c>
      <c r="I19" s="16" t="s">
        <v>94</v>
      </c>
    </row>
    <row r="20" spans="1:9" ht="14.25" customHeight="1" x14ac:dyDescent="0.3">
      <c r="A20" s="16" t="s">
        <v>145</v>
      </c>
      <c r="B20" s="16" t="s">
        <v>146</v>
      </c>
      <c r="C20" s="16" t="s">
        <v>147</v>
      </c>
      <c r="D20" s="16" t="s">
        <v>85</v>
      </c>
      <c r="E20" s="16" t="s">
        <v>148</v>
      </c>
      <c r="F20" s="16" t="s">
        <v>46</v>
      </c>
      <c r="G20" s="16" t="s">
        <v>99</v>
      </c>
      <c r="H20" s="16" t="s">
        <v>38</v>
      </c>
      <c r="I20" s="16" t="s">
        <v>100</v>
      </c>
    </row>
    <row r="21" spans="1:9" ht="14.25" customHeight="1" x14ac:dyDescent="0.3">
      <c r="A21" s="16" t="s">
        <v>149</v>
      </c>
      <c r="B21" s="16" t="s">
        <v>150</v>
      </c>
      <c r="C21" s="16" t="s">
        <v>151</v>
      </c>
      <c r="D21" s="16" t="s">
        <v>64</v>
      </c>
      <c r="E21" s="16" t="s">
        <v>152</v>
      </c>
      <c r="F21" s="16" t="s">
        <v>39</v>
      </c>
      <c r="G21" s="16" t="s">
        <v>105</v>
      </c>
      <c r="H21" s="16" t="s">
        <v>34</v>
      </c>
      <c r="I21" s="16" t="s">
        <v>106</v>
      </c>
    </row>
    <row r="22" spans="1:9" ht="14.25" customHeight="1" x14ac:dyDescent="0.3">
      <c r="A22" s="16" t="s">
        <v>153</v>
      </c>
      <c r="B22" s="16" t="s">
        <v>154</v>
      </c>
      <c r="C22" s="16" t="s">
        <v>155</v>
      </c>
      <c r="D22" s="16" t="s">
        <v>71</v>
      </c>
      <c r="E22" s="16" t="s">
        <v>156</v>
      </c>
      <c r="F22" s="16" t="s">
        <v>43</v>
      </c>
      <c r="G22" s="16" t="s">
        <v>111</v>
      </c>
      <c r="H22" s="16" t="s">
        <v>38</v>
      </c>
      <c r="I22" s="16" t="s">
        <v>112</v>
      </c>
    </row>
    <row r="23" spans="1:9" ht="14.25" customHeight="1" x14ac:dyDescent="0.3">
      <c r="A23" s="16" t="s">
        <v>157</v>
      </c>
      <c r="B23" s="16" t="s">
        <v>158</v>
      </c>
      <c r="C23" s="16" t="s">
        <v>159</v>
      </c>
      <c r="D23" s="16" t="s">
        <v>78</v>
      </c>
      <c r="E23" s="16" t="s">
        <v>160</v>
      </c>
      <c r="F23" s="16" t="s">
        <v>46</v>
      </c>
      <c r="G23" s="16" t="s">
        <v>117</v>
      </c>
      <c r="H23" s="16" t="s">
        <v>34</v>
      </c>
      <c r="I23" s="16" t="s">
        <v>118</v>
      </c>
    </row>
    <row r="24" spans="1:9" ht="14.25" customHeight="1" x14ac:dyDescent="0.3">
      <c r="A24" s="16" t="s">
        <v>161</v>
      </c>
      <c r="B24" s="16" t="s">
        <v>162</v>
      </c>
      <c r="C24" s="16" t="s">
        <v>163</v>
      </c>
      <c r="D24" s="16" t="s">
        <v>85</v>
      </c>
      <c r="E24" s="16" t="s">
        <v>164</v>
      </c>
      <c r="F24" s="16" t="s">
        <v>43</v>
      </c>
      <c r="G24" s="16" t="s">
        <v>123</v>
      </c>
      <c r="H24" s="16" t="s">
        <v>42</v>
      </c>
      <c r="I24" s="16" t="s">
        <v>124</v>
      </c>
    </row>
    <row r="25" spans="1:9" ht="14.25" customHeight="1" x14ac:dyDescent="0.3">
      <c r="A25" s="17"/>
      <c r="B25" s="17"/>
      <c r="C25" s="17"/>
      <c r="D25" s="17"/>
      <c r="E25" s="17"/>
      <c r="F25" s="17"/>
      <c r="G25" s="17"/>
      <c r="H25" s="17"/>
      <c r="I25" s="17"/>
    </row>
    <row r="26" spans="1:9" ht="14.25" customHeight="1" x14ac:dyDescent="0.3">
      <c r="A26" s="17"/>
      <c r="B26" s="17"/>
      <c r="C26" s="17"/>
      <c r="D26" s="17"/>
      <c r="E26" s="17"/>
      <c r="F26" s="17"/>
      <c r="G26" s="17"/>
      <c r="H26" s="17"/>
      <c r="I26" s="17"/>
    </row>
    <row r="27" spans="1:9" ht="14.25" customHeight="1" x14ac:dyDescent="0.3">
      <c r="A27" s="17"/>
      <c r="B27" s="17"/>
      <c r="C27" s="17"/>
      <c r="D27" s="17"/>
      <c r="E27" s="17"/>
      <c r="F27" s="17"/>
      <c r="G27" s="17"/>
      <c r="H27" s="17"/>
      <c r="I27" s="17"/>
    </row>
    <row r="28" spans="1:9" ht="14.25" customHeight="1" x14ac:dyDescent="0.3">
      <c r="A28" s="17"/>
      <c r="B28" s="17"/>
      <c r="C28" s="17"/>
      <c r="D28" s="17"/>
      <c r="E28" s="17"/>
      <c r="F28" s="17"/>
      <c r="G28" s="17"/>
      <c r="H28" s="17"/>
      <c r="I28" s="17"/>
    </row>
    <row r="29" spans="1:9" ht="14.25" customHeight="1" x14ac:dyDescent="0.3">
      <c r="A29" s="17"/>
      <c r="B29" s="17"/>
      <c r="C29" s="17"/>
      <c r="D29" s="17"/>
      <c r="E29" s="17"/>
      <c r="F29" s="17"/>
      <c r="G29" s="17"/>
      <c r="H29" s="17"/>
      <c r="I29" s="17"/>
    </row>
    <row r="30" spans="1:9" ht="14.25" customHeight="1" x14ac:dyDescent="0.3">
      <c r="A30" s="17"/>
      <c r="B30" s="17"/>
      <c r="C30" s="17"/>
      <c r="D30" s="17"/>
      <c r="E30" s="17"/>
      <c r="F30" s="17"/>
      <c r="G30" s="17"/>
      <c r="H30" s="17"/>
      <c r="I30" s="17"/>
    </row>
    <row r="31" spans="1:9" ht="14.25" customHeight="1" x14ac:dyDescent="0.3">
      <c r="A31" s="17"/>
      <c r="B31" s="17"/>
      <c r="C31" s="17"/>
      <c r="D31" s="17"/>
      <c r="E31" s="17"/>
      <c r="F31" s="17"/>
      <c r="G31" s="17"/>
      <c r="H31" s="17"/>
      <c r="I31" s="17"/>
    </row>
    <row r="32" spans="1:9" ht="14.25" customHeight="1" x14ac:dyDescent="0.3">
      <c r="A32" s="17"/>
      <c r="B32" s="17"/>
      <c r="C32" s="17"/>
      <c r="D32" s="17"/>
      <c r="E32" s="17"/>
      <c r="F32" s="17"/>
      <c r="G32" s="17"/>
      <c r="H32" s="17"/>
      <c r="I32" s="17"/>
    </row>
    <row r="33" spans="1:9" ht="14.25" customHeight="1" x14ac:dyDescent="0.3">
      <c r="A33" s="17"/>
      <c r="B33" s="17"/>
      <c r="C33" s="17"/>
      <c r="D33" s="17"/>
      <c r="E33" s="17"/>
      <c r="F33" s="17"/>
      <c r="G33" s="17"/>
      <c r="H33" s="17"/>
      <c r="I33" s="17"/>
    </row>
    <row r="34" spans="1:9" ht="14.25" customHeight="1" x14ac:dyDescent="0.3">
      <c r="A34" s="17"/>
      <c r="B34" s="17"/>
      <c r="C34" s="17"/>
      <c r="D34" s="17"/>
      <c r="E34" s="17"/>
      <c r="F34" s="17"/>
      <c r="G34" s="17"/>
      <c r="H34" s="17"/>
      <c r="I34" s="17"/>
    </row>
  </sheetData>
  <mergeCells count="2">
    <mergeCell ref="A1:I1"/>
    <mergeCell ref="A2:I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4"/>
  <sheetViews>
    <sheetView showGridLines="0" zoomScaleNormal="100" workbookViewId="0">
      <pane ySplit="4" topLeftCell="A8" activePane="bottomLeft" state="frozen"/>
      <selection pane="bottomLeft" activeCell="F4" sqref="F4"/>
    </sheetView>
  </sheetViews>
  <sheetFormatPr defaultColWidth="8.6640625" defaultRowHeight="14.4" x14ac:dyDescent="0.3"/>
  <cols>
    <col min="1" max="1" width="12" customWidth="1"/>
    <col min="2" max="3" width="14" customWidth="1"/>
    <col min="4" max="4" width="12" customWidth="1"/>
    <col min="5" max="5" width="16" customWidth="1"/>
    <col min="6" max="6" width="20.44140625" customWidth="1"/>
    <col min="7" max="7" width="14" customWidth="1"/>
    <col min="8" max="8" width="16" customWidth="1"/>
    <col min="9" max="9" width="24" customWidth="1"/>
  </cols>
  <sheetData>
    <row r="1" spans="1:9" ht="24" customHeight="1" x14ac:dyDescent="0.3">
      <c r="A1" s="5" t="s">
        <v>165</v>
      </c>
      <c r="B1" s="5"/>
      <c r="C1" s="5"/>
      <c r="D1" s="5"/>
      <c r="E1" s="5"/>
      <c r="F1" s="5"/>
      <c r="G1" s="5"/>
      <c r="H1" s="5"/>
      <c r="I1" s="5"/>
    </row>
    <row r="2" spans="1:9" ht="15.75" customHeight="1" x14ac:dyDescent="0.3">
      <c r="A2" s="4" t="s">
        <v>166</v>
      </c>
      <c r="B2" s="4"/>
      <c r="C2" s="4"/>
      <c r="D2" s="4"/>
      <c r="E2" s="4"/>
      <c r="F2" s="4"/>
      <c r="G2" s="4"/>
      <c r="H2" s="4"/>
      <c r="I2" s="4"/>
    </row>
    <row r="4" spans="1:9" ht="27.75" customHeight="1" x14ac:dyDescent="0.3">
      <c r="A4" s="15" t="s">
        <v>54</v>
      </c>
      <c r="B4" s="15" t="s">
        <v>167</v>
      </c>
      <c r="C4" s="15" t="s">
        <v>31</v>
      </c>
      <c r="D4" s="15" t="s">
        <v>168</v>
      </c>
      <c r="E4" s="15" t="s">
        <v>169</v>
      </c>
      <c r="F4" s="15" t="s">
        <v>170</v>
      </c>
      <c r="G4" s="15" t="s">
        <v>171</v>
      </c>
      <c r="H4" s="15" t="s">
        <v>172</v>
      </c>
      <c r="I4" s="15" t="s">
        <v>60</v>
      </c>
    </row>
    <row r="5" spans="1:9" ht="14.25" customHeight="1" x14ac:dyDescent="0.3">
      <c r="A5" s="16" t="s">
        <v>61</v>
      </c>
      <c r="B5" s="16" t="s">
        <v>65</v>
      </c>
      <c r="C5" s="16" t="s">
        <v>39</v>
      </c>
      <c r="D5" s="16">
        <v>72</v>
      </c>
      <c r="E5" s="16">
        <v>90</v>
      </c>
      <c r="F5" s="18" t="str">
        <f t="shared" ref="F5:F34" si="0">IF(D5="","",IF(D5&lt;=E5,"Yes","No - Non-Conforming"))</f>
        <v>Yes</v>
      </c>
      <c r="G5" s="16" t="s">
        <v>66</v>
      </c>
      <c r="H5" s="16" t="s">
        <v>173</v>
      </c>
      <c r="I5" s="16" t="s">
        <v>174</v>
      </c>
    </row>
    <row r="6" spans="1:9" ht="14.25" customHeight="1" x14ac:dyDescent="0.3">
      <c r="A6" s="16" t="s">
        <v>68</v>
      </c>
      <c r="B6" s="16" t="s">
        <v>72</v>
      </c>
      <c r="C6" s="16" t="s">
        <v>43</v>
      </c>
      <c r="D6" s="16">
        <v>80</v>
      </c>
      <c r="E6" s="16">
        <v>90</v>
      </c>
      <c r="F6" s="18" t="str">
        <f t="shared" si="0"/>
        <v>Yes</v>
      </c>
      <c r="G6" s="16" t="s">
        <v>73</v>
      </c>
      <c r="H6" s="16" t="s">
        <v>175</v>
      </c>
      <c r="I6" s="16" t="s">
        <v>174</v>
      </c>
    </row>
    <row r="7" spans="1:9" ht="14.25" customHeight="1" x14ac:dyDescent="0.3">
      <c r="A7" s="16" t="s">
        <v>75</v>
      </c>
      <c r="B7" s="16" t="s">
        <v>79</v>
      </c>
      <c r="C7" s="16" t="s">
        <v>46</v>
      </c>
      <c r="D7" s="16">
        <v>68</v>
      </c>
      <c r="E7" s="16">
        <v>100</v>
      </c>
      <c r="F7" s="18" t="str">
        <f t="shared" si="0"/>
        <v>Yes</v>
      </c>
      <c r="G7" s="16" t="s">
        <v>80</v>
      </c>
      <c r="H7" s="16" t="s">
        <v>176</v>
      </c>
      <c r="I7" s="16" t="s">
        <v>174</v>
      </c>
    </row>
    <row r="8" spans="1:9" ht="14.25" customHeight="1" x14ac:dyDescent="0.3">
      <c r="A8" s="16" t="s">
        <v>82</v>
      </c>
      <c r="B8" s="16" t="s">
        <v>86</v>
      </c>
      <c r="C8" s="16" t="s">
        <v>43</v>
      </c>
      <c r="D8" s="16">
        <v>95</v>
      </c>
      <c r="E8" s="16">
        <v>90</v>
      </c>
      <c r="F8" s="18" t="str">
        <f t="shared" si="0"/>
        <v>No - Non-Conforming</v>
      </c>
      <c r="G8" s="16" t="s">
        <v>87</v>
      </c>
      <c r="H8" s="16" t="s">
        <v>177</v>
      </c>
      <c r="I8" s="16" t="s">
        <v>178</v>
      </c>
    </row>
    <row r="9" spans="1:9" ht="14.25" customHeight="1" x14ac:dyDescent="0.3">
      <c r="A9" s="16" t="s">
        <v>89</v>
      </c>
      <c r="B9" s="16" t="s">
        <v>92</v>
      </c>
      <c r="C9" s="16" t="s">
        <v>39</v>
      </c>
      <c r="D9" s="16">
        <v>60</v>
      </c>
      <c r="E9" s="16">
        <v>90</v>
      </c>
      <c r="F9" s="18" t="str">
        <f t="shared" si="0"/>
        <v>Yes</v>
      </c>
      <c r="G9" s="16" t="s">
        <v>93</v>
      </c>
      <c r="H9" s="16" t="s">
        <v>179</v>
      </c>
      <c r="I9" s="16" t="s">
        <v>174</v>
      </c>
    </row>
    <row r="10" spans="1:9" ht="14.25" customHeight="1" x14ac:dyDescent="0.3">
      <c r="A10" s="16" t="s">
        <v>95</v>
      </c>
      <c r="B10" s="16" t="s">
        <v>98</v>
      </c>
      <c r="C10" s="16" t="s">
        <v>49</v>
      </c>
      <c r="D10" s="16">
        <v>85</v>
      </c>
      <c r="E10" s="16">
        <v>100</v>
      </c>
      <c r="F10" s="18" t="str">
        <f t="shared" si="0"/>
        <v>Yes</v>
      </c>
      <c r="G10" s="16" t="s">
        <v>99</v>
      </c>
      <c r="H10" s="16" t="s">
        <v>180</v>
      </c>
      <c r="I10" s="16" t="s">
        <v>174</v>
      </c>
    </row>
    <row r="11" spans="1:9" ht="14.25" customHeight="1" x14ac:dyDescent="0.3">
      <c r="A11" s="16" t="s">
        <v>101</v>
      </c>
      <c r="B11" s="16" t="s">
        <v>104</v>
      </c>
      <c r="C11" s="16" t="s">
        <v>43</v>
      </c>
      <c r="D11" s="16">
        <v>78</v>
      </c>
      <c r="E11" s="16">
        <v>90</v>
      </c>
      <c r="F11" s="18" t="str">
        <f t="shared" si="0"/>
        <v>Yes</v>
      </c>
      <c r="G11" s="16" t="s">
        <v>105</v>
      </c>
      <c r="H11" s="16" t="s">
        <v>181</v>
      </c>
      <c r="I11" s="16" t="s">
        <v>174</v>
      </c>
    </row>
    <row r="12" spans="1:9" ht="14.25" customHeight="1" x14ac:dyDescent="0.3">
      <c r="A12" s="16" t="s">
        <v>107</v>
      </c>
      <c r="B12" s="16" t="s">
        <v>110</v>
      </c>
      <c r="C12" s="16" t="s">
        <v>46</v>
      </c>
      <c r="D12" s="16">
        <v>92</v>
      </c>
      <c r="E12" s="16">
        <v>100</v>
      </c>
      <c r="F12" s="18" t="str">
        <f t="shared" si="0"/>
        <v>Yes</v>
      </c>
      <c r="G12" s="16" t="s">
        <v>111</v>
      </c>
      <c r="H12" s="16" t="s">
        <v>182</v>
      </c>
      <c r="I12" s="16" t="s">
        <v>174</v>
      </c>
    </row>
    <row r="13" spans="1:9" ht="14.25" customHeight="1" x14ac:dyDescent="0.3">
      <c r="A13" s="16" t="s">
        <v>113</v>
      </c>
      <c r="B13" s="16" t="s">
        <v>116</v>
      </c>
      <c r="C13" s="16" t="s">
        <v>39</v>
      </c>
      <c r="D13" s="16">
        <v>65</v>
      </c>
      <c r="E13" s="16">
        <v>90</v>
      </c>
      <c r="F13" s="18" t="str">
        <f t="shared" si="0"/>
        <v>Yes</v>
      </c>
      <c r="G13" s="16" t="s">
        <v>117</v>
      </c>
      <c r="H13" s="16" t="s">
        <v>183</v>
      </c>
      <c r="I13" s="16" t="s">
        <v>174</v>
      </c>
    </row>
    <row r="14" spans="1:9" ht="14.25" customHeight="1" x14ac:dyDescent="0.3">
      <c r="A14" s="16" t="s">
        <v>119</v>
      </c>
      <c r="B14" s="16" t="s">
        <v>122</v>
      </c>
      <c r="C14" s="16" t="s">
        <v>43</v>
      </c>
      <c r="D14" s="16">
        <v>70</v>
      </c>
      <c r="E14" s="16">
        <v>90</v>
      </c>
      <c r="F14" s="18" t="str">
        <f t="shared" si="0"/>
        <v>Yes</v>
      </c>
      <c r="G14" s="16" t="s">
        <v>123</v>
      </c>
      <c r="H14" s="16" t="s">
        <v>184</v>
      </c>
      <c r="I14" s="16" t="s">
        <v>174</v>
      </c>
    </row>
    <row r="15" spans="1:9" ht="14.25" customHeight="1" x14ac:dyDescent="0.3">
      <c r="A15" s="16" t="s">
        <v>125</v>
      </c>
      <c r="B15" s="16" t="s">
        <v>128</v>
      </c>
      <c r="C15" s="16" t="s">
        <v>46</v>
      </c>
      <c r="D15" s="16">
        <v>88</v>
      </c>
      <c r="E15" s="16">
        <v>100</v>
      </c>
      <c r="F15" s="18" t="str">
        <f t="shared" si="0"/>
        <v>Yes</v>
      </c>
      <c r="G15" s="16" t="s">
        <v>66</v>
      </c>
      <c r="H15" s="16" t="s">
        <v>173</v>
      </c>
      <c r="I15" s="16" t="s">
        <v>174</v>
      </c>
    </row>
    <row r="16" spans="1:9" ht="14.25" customHeight="1" x14ac:dyDescent="0.3">
      <c r="A16" s="16" t="s">
        <v>129</v>
      </c>
      <c r="B16" s="16" t="s">
        <v>132</v>
      </c>
      <c r="C16" s="16" t="s">
        <v>43</v>
      </c>
      <c r="D16" s="16">
        <v>82</v>
      </c>
      <c r="E16" s="16">
        <v>90</v>
      </c>
      <c r="F16" s="18" t="str">
        <f t="shared" si="0"/>
        <v>Yes</v>
      </c>
      <c r="G16" s="16" t="s">
        <v>73</v>
      </c>
      <c r="H16" s="16" t="s">
        <v>175</v>
      </c>
      <c r="I16" s="16" t="s">
        <v>174</v>
      </c>
    </row>
    <row r="17" spans="1:9" ht="14.25" customHeight="1" x14ac:dyDescent="0.3">
      <c r="A17" s="16" t="s">
        <v>133</v>
      </c>
      <c r="B17" s="16" t="s">
        <v>136</v>
      </c>
      <c r="C17" s="16" t="s">
        <v>39</v>
      </c>
      <c r="D17" s="16">
        <v>96</v>
      </c>
      <c r="E17" s="16">
        <v>90</v>
      </c>
      <c r="F17" s="18" t="str">
        <f t="shared" si="0"/>
        <v>No - Non-Conforming</v>
      </c>
      <c r="G17" s="16" t="s">
        <v>80</v>
      </c>
      <c r="H17" s="16" t="s">
        <v>176</v>
      </c>
      <c r="I17" s="16" t="s">
        <v>178</v>
      </c>
    </row>
    <row r="18" spans="1:9" ht="14.25" customHeight="1" x14ac:dyDescent="0.3">
      <c r="A18" s="16" t="s">
        <v>137</v>
      </c>
      <c r="B18" s="16" t="s">
        <v>140</v>
      </c>
      <c r="C18" s="16" t="s">
        <v>49</v>
      </c>
      <c r="D18" s="16">
        <v>75</v>
      </c>
      <c r="E18" s="16">
        <v>100</v>
      </c>
      <c r="F18" s="18" t="str">
        <f t="shared" si="0"/>
        <v>Yes</v>
      </c>
      <c r="G18" s="16" t="s">
        <v>87</v>
      </c>
      <c r="H18" s="16" t="s">
        <v>177</v>
      </c>
      <c r="I18" s="16" t="s">
        <v>174</v>
      </c>
    </row>
    <row r="19" spans="1:9" ht="14.25" customHeight="1" x14ac:dyDescent="0.3">
      <c r="A19" s="16" t="s">
        <v>141</v>
      </c>
      <c r="B19" s="16" t="s">
        <v>144</v>
      </c>
      <c r="C19" s="16" t="s">
        <v>43</v>
      </c>
      <c r="D19" s="16">
        <v>63</v>
      </c>
      <c r="E19" s="16">
        <v>90</v>
      </c>
      <c r="F19" s="18" t="str">
        <f t="shared" si="0"/>
        <v>Yes</v>
      </c>
      <c r="G19" s="16" t="s">
        <v>93</v>
      </c>
      <c r="H19" s="16" t="s">
        <v>179</v>
      </c>
      <c r="I19" s="16" t="s">
        <v>174</v>
      </c>
    </row>
    <row r="20" spans="1:9" ht="14.25" customHeight="1" x14ac:dyDescent="0.3">
      <c r="A20" s="16" t="s">
        <v>145</v>
      </c>
      <c r="B20" s="16" t="s">
        <v>148</v>
      </c>
      <c r="C20" s="16" t="s">
        <v>46</v>
      </c>
      <c r="D20" s="16">
        <v>90</v>
      </c>
      <c r="E20" s="16">
        <v>100</v>
      </c>
      <c r="F20" s="18" t="str">
        <f t="shared" si="0"/>
        <v>Yes</v>
      </c>
      <c r="G20" s="16" t="s">
        <v>99</v>
      </c>
      <c r="H20" s="16" t="s">
        <v>180</v>
      </c>
      <c r="I20" s="16" t="s">
        <v>174</v>
      </c>
    </row>
    <row r="21" spans="1:9" ht="14.25" customHeight="1" x14ac:dyDescent="0.3">
      <c r="A21" s="16" t="s">
        <v>149</v>
      </c>
      <c r="B21" s="16" t="s">
        <v>152</v>
      </c>
      <c r="C21" s="16" t="s">
        <v>39</v>
      </c>
      <c r="D21" s="16">
        <v>79</v>
      </c>
      <c r="E21" s="16">
        <v>90</v>
      </c>
      <c r="F21" s="18" t="str">
        <f t="shared" si="0"/>
        <v>Yes</v>
      </c>
      <c r="G21" s="16" t="s">
        <v>105</v>
      </c>
      <c r="H21" s="16" t="s">
        <v>181</v>
      </c>
      <c r="I21" s="16" t="s">
        <v>174</v>
      </c>
    </row>
    <row r="22" spans="1:9" ht="14.25" customHeight="1" x14ac:dyDescent="0.3">
      <c r="A22" s="16" t="s">
        <v>153</v>
      </c>
      <c r="B22" s="16" t="s">
        <v>156</v>
      </c>
      <c r="C22" s="16" t="s">
        <v>43</v>
      </c>
      <c r="D22" s="16">
        <v>55</v>
      </c>
      <c r="E22" s="16">
        <v>90</v>
      </c>
      <c r="F22" s="18" t="str">
        <f t="shared" si="0"/>
        <v>Yes</v>
      </c>
      <c r="G22" s="16" t="s">
        <v>111</v>
      </c>
      <c r="H22" s="16" t="s">
        <v>182</v>
      </c>
      <c r="I22" s="16" t="s">
        <v>174</v>
      </c>
    </row>
    <row r="23" spans="1:9" ht="14.25" customHeight="1" x14ac:dyDescent="0.3">
      <c r="A23" s="16" t="s">
        <v>157</v>
      </c>
      <c r="B23" s="16" t="s">
        <v>160</v>
      </c>
      <c r="C23" s="16" t="s">
        <v>46</v>
      </c>
      <c r="D23" s="16">
        <v>84</v>
      </c>
      <c r="E23" s="16">
        <v>100</v>
      </c>
      <c r="F23" s="18" t="str">
        <f t="shared" si="0"/>
        <v>Yes</v>
      </c>
      <c r="G23" s="16" t="s">
        <v>117</v>
      </c>
      <c r="H23" s="16" t="s">
        <v>183</v>
      </c>
      <c r="I23" s="16" t="s">
        <v>174</v>
      </c>
    </row>
    <row r="24" spans="1:9" ht="14.25" customHeight="1" x14ac:dyDescent="0.3">
      <c r="A24" s="16" t="s">
        <v>161</v>
      </c>
      <c r="B24" s="16" t="s">
        <v>164</v>
      </c>
      <c r="C24" s="16" t="s">
        <v>43</v>
      </c>
      <c r="D24" s="16">
        <v>91</v>
      </c>
      <c r="E24" s="16">
        <v>90</v>
      </c>
      <c r="F24" s="18" t="str">
        <f t="shared" si="0"/>
        <v>No - Non-Conforming</v>
      </c>
      <c r="G24" s="16" t="s">
        <v>123</v>
      </c>
      <c r="H24" s="16" t="s">
        <v>184</v>
      </c>
      <c r="I24" s="16" t="s">
        <v>178</v>
      </c>
    </row>
    <row r="25" spans="1:9" ht="14.25" customHeight="1" x14ac:dyDescent="0.3">
      <c r="A25" s="17"/>
      <c r="B25" s="17"/>
      <c r="C25" s="17"/>
      <c r="D25" s="17"/>
      <c r="E25" s="17"/>
      <c r="F25" s="19" t="str">
        <f t="shared" si="0"/>
        <v/>
      </c>
      <c r="G25" s="17"/>
      <c r="H25" s="17"/>
      <c r="I25" s="17"/>
    </row>
    <row r="26" spans="1:9" ht="14.25" customHeight="1" x14ac:dyDescent="0.3">
      <c r="A26" s="17"/>
      <c r="B26" s="17"/>
      <c r="C26" s="17"/>
      <c r="D26" s="17"/>
      <c r="E26" s="17"/>
      <c r="F26" s="19" t="str">
        <f t="shared" si="0"/>
        <v/>
      </c>
      <c r="G26" s="17"/>
      <c r="H26" s="17"/>
      <c r="I26" s="17"/>
    </row>
    <row r="27" spans="1:9" ht="14.25" customHeight="1" x14ac:dyDescent="0.3">
      <c r="A27" s="17"/>
      <c r="B27" s="17"/>
      <c r="C27" s="17"/>
      <c r="D27" s="17"/>
      <c r="E27" s="17"/>
      <c r="F27" s="19" t="str">
        <f t="shared" si="0"/>
        <v/>
      </c>
      <c r="G27" s="17"/>
      <c r="H27" s="17"/>
      <c r="I27" s="17"/>
    </row>
    <row r="28" spans="1:9" ht="14.25" customHeight="1" x14ac:dyDescent="0.3">
      <c r="A28" s="17"/>
      <c r="B28" s="17"/>
      <c r="C28" s="17"/>
      <c r="D28" s="17"/>
      <c r="E28" s="17"/>
      <c r="F28" s="19" t="str">
        <f t="shared" si="0"/>
        <v/>
      </c>
      <c r="G28" s="17"/>
      <c r="H28" s="17"/>
      <c r="I28" s="17"/>
    </row>
    <row r="29" spans="1:9" ht="14.25" customHeight="1" x14ac:dyDescent="0.3">
      <c r="A29" s="17"/>
      <c r="B29" s="17"/>
      <c r="C29" s="17"/>
      <c r="D29" s="17"/>
      <c r="E29" s="17"/>
      <c r="F29" s="19" t="str">
        <f t="shared" si="0"/>
        <v/>
      </c>
      <c r="G29" s="17"/>
      <c r="H29" s="17"/>
      <c r="I29" s="17"/>
    </row>
    <row r="30" spans="1:9" ht="14.25" customHeight="1" x14ac:dyDescent="0.3">
      <c r="A30" s="17"/>
      <c r="B30" s="17"/>
      <c r="C30" s="17"/>
      <c r="D30" s="17"/>
      <c r="E30" s="17"/>
      <c r="F30" s="19" t="str">
        <f t="shared" si="0"/>
        <v/>
      </c>
      <c r="G30" s="17"/>
      <c r="H30" s="17"/>
      <c r="I30" s="17"/>
    </row>
    <row r="31" spans="1:9" ht="14.25" customHeight="1" x14ac:dyDescent="0.3">
      <c r="A31" s="17"/>
      <c r="B31" s="17"/>
      <c r="C31" s="17"/>
      <c r="D31" s="17"/>
      <c r="E31" s="17"/>
      <c r="F31" s="19" t="str">
        <f t="shared" si="0"/>
        <v/>
      </c>
      <c r="G31" s="17"/>
      <c r="H31" s="17"/>
      <c r="I31" s="17"/>
    </row>
    <row r="32" spans="1:9" ht="14.25" customHeight="1" x14ac:dyDescent="0.3">
      <c r="A32" s="17"/>
      <c r="B32" s="17"/>
      <c r="C32" s="17"/>
      <c r="D32" s="17"/>
      <c r="E32" s="17"/>
      <c r="F32" s="19" t="str">
        <f t="shared" si="0"/>
        <v/>
      </c>
      <c r="G32" s="17"/>
      <c r="H32" s="17"/>
      <c r="I32" s="17"/>
    </row>
    <row r="33" spans="1:9" ht="14.25" customHeight="1" x14ac:dyDescent="0.3">
      <c r="A33" s="17"/>
      <c r="B33" s="17"/>
      <c r="C33" s="17"/>
      <c r="D33" s="17"/>
      <c r="E33" s="17"/>
      <c r="F33" s="19" t="str">
        <f t="shared" si="0"/>
        <v/>
      </c>
      <c r="G33" s="17"/>
      <c r="H33" s="17"/>
      <c r="I33" s="17"/>
    </row>
    <row r="34" spans="1:9" ht="14.25" customHeight="1" x14ac:dyDescent="0.3">
      <c r="A34" s="17"/>
      <c r="B34" s="17"/>
      <c r="C34" s="17"/>
      <c r="D34" s="17"/>
      <c r="E34" s="17"/>
      <c r="F34" s="19" t="str">
        <f t="shared" si="0"/>
        <v/>
      </c>
      <c r="G34" s="17"/>
      <c r="H34" s="17"/>
      <c r="I34" s="17"/>
    </row>
  </sheetData>
  <mergeCells count="2">
    <mergeCell ref="A1:I1"/>
    <mergeCell ref="A2:I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2"/>
  <sheetViews>
    <sheetView showGridLines="0" zoomScaleNormal="100" workbookViewId="0">
      <pane ySplit="4" topLeftCell="A30" activePane="bottomLeft" state="frozen"/>
      <selection pane="bottomLeft" activeCell="D51" sqref="D51"/>
    </sheetView>
  </sheetViews>
  <sheetFormatPr defaultColWidth="8.6640625" defaultRowHeight="14.4" x14ac:dyDescent="0.3"/>
  <cols>
    <col min="1" max="1" width="12" customWidth="1"/>
    <col min="2" max="5" width="14" customWidth="1"/>
    <col min="6" max="6" width="12" customWidth="1"/>
    <col min="7" max="7" width="18" customWidth="1"/>
    <col min="8" max="8" width="20" customWidth="1"/>
    <col min="9" max="9" width="18" customWidth="1"/>
    <col min="10" max="10" width="21.109375" customWidth="1"/>
    <col min="11" max="11" width="14" customWidth="1"/>
  </cols>
  <sheetData>
    <row r="1" spans="1:11" ht="24" customHeight="1" x14ac:dyDescent="0.3">
      <c r="A1" s="5" t="s">
        <v>185</v>
      </c>
      <c r="B1" s="5"/>
      <c r="C1" s="5"/>
      <c r="D1" s="5"/>
      <c r="E1" s="5"/>
      <c r="F1" s="5"/>
      <c r="G1" s="5"/>
      <c r="H1" s="5"/>
      <c r="I1" s="5"/>
      <c r="J1" s="5"/>
      <c r="K1" s="5"/>
    </row>
    <row r="2" spans="1:11" ht="15.75" customHeight="1" x14ac:dyDescent="0.3">
      <c r="A2" s="4" t="s">
        <v>186</v>
      </c>
      <c r="B2" s="4"/>
      <c r="C2" s="4"/>
      <c r="D2" s="4"/>
      <c r="E2" s="4"/>
      <c r="F2" s="4"/>
      <c r="G2" s="4"/>
      <c r="H2" s="4"/>
      <c r="I2" s="4"/>
      <c r="J2" s="4"/>
      <c r="K2" s="4"/>
    </row>
    <row r="4" spans="1:11" ht="31.5" customHeight="1" x14ac:dyDescent="0.3">
      <c r="A4" s="15" t="s">
        <v>54</v>
      </c>
      <c r="B4" s="15" t="s">
        <v>58</v>
      </c>
      <c r="C4" s="15" t="s">
        <v>33</v>
      </c>
      <c r="D4" s="15" t="s">
        <v>167</v>
      </c>
      <c r="E4" s="15" t="s">
        <v>187</v>
      </c>
      <c r="F4" s="15" t="s">
        <v>188</v>
      </c>
      <c r="G4" s="15" t="s">
        <v>189</v>
      </c>
      <c r="H4" s="15" t="s">
        <v>190</v>
      </c>
      <c r="I4" s="15" t="s">
        <v>191</v>
      </c>
      <c r="J4" s="15" t="s">
        <v>192</v>
      </c>
      <c r="K4" s="15" t="s">
        <v>171</v>
      </c>
    </row>
    <row r="5" spans="1:11" ht="14.25" customHeight="1" x14ac:dyDescent="0.3">
      <c r="A5" s="16" t="s">
        <v>61</v>
      </c>
      <c r="B5" s="16" t="s">
        <v>65</v>
      </c>
      <c r="C5" s="16">
        <v>7</v>
      </c>
      <c r="D5" s="16" t="s">
        <v>110</v>
      </c>
      <c r="E5" s="16" t="s">
        <v>193</v>
      </c>
      <c r="F5" s="16">
        <v>279</v>
      </c>
      <c r="G5" s="16">
        <v>22500</v>
      </c>
      <c r="H5" s="20">
        <f t="shared" ref="H5:H52" si="0">IF(OR(F5="",G5="",G5=0),"",ROUND((F5*1000)/G5,2))</f>
        <v>12.4</v>
      </c>
      <c r="I5" s="16">
        <v>20</v>
      </c>
      <c r="J5" s="18" t="str">
        <f t="shared" ref="J5:J52" si="1">IF(OR(H5="",I5=""),"",IF(C5&lt;28,"In Progress",IF(H5&gt;=I5,"Pass","Fail - Non-Conforming")))</f>
        <v>In Progress</v>
      </c>
      <c r="K5" s="16" t="s">
        <v>66</v>
      </c>
    </row>
    <row r="6" spans="1:11" ht="14.25" customHeight="1" x14ac:dyDescent="0.3">
      <c r="A6" s="16" t="s">
        <v>61</v>
      </c>
      <c r="B6" s="16" t="s">
        <v>65</v>
      </c>
      <c r="C6" s="16">
        <v>14</v>
      </c>
      <c r="D6" s="16" t="s">
        <v>144</v>
      </c>
      <c r="E6" s="16" t="s">
        <v>194</v>
      </c>
      <c r="F6" s="16">
        <v>369</v>
      </c>
      <c r="G6" s="16">
        <v>22500</v>
      </c>
      <c r="H6" s="20">
        <f t="shared" si="0"/>
        <v>16.399999999999999</v>
      </c>
      <c r="I6" s="16">
        <v>20</v>
      </c>
      <c r="J6" s="18" t="str">
        <f t="shared" si="1"/>
        <v>In Progress</v>
      </c>
      <c r="K6" s="16" t="s">
        <v>66</v>
      </c>
    </row>
    <row r="7" spans="1:11" ht="14.25" customHeight="1" x14ac:dyDescent="0.3">
      <c r="A7" s="16" t="s">
        <v>61</v>
      </c>
      <c r="B7" s="16" t="s">
        <v>65</v>
      </c>
      <c r="C7" s="16">
        <v>21</v>
      </c>
      <c r="D7" s="16" t="s">
        <v>195</v>
      </c>
      <c r="E7" s="16" t="s">
        <v>196</v>
      </c>
      <c r="F7" s="16">
        <v>418.5</v>
      </c>
      <c r="G7" s="16">
        <v>22500</v>
      </c>
      <c r="H7" s="20">
        <f t="shared" si="0"/>
        <v>18.600000000000001</v>
      </c>
      <c r="I7" s="16">
        <v>20</v>
      </c>
      <c r="J7" s="18" t="str">
        <f t="shared" si="1"/>
        <v>In Progress</v>
      </c>
      <c r="K7" s="16" t="s">
        <v>66</v>
      </c>
    </row>
    <row r="8" spans="1:11" ht="14.25" customHeight="1" x14ac:dyDescent="0.3">
      <c r="A8" s="16" t="s">
        <v>61</v>
      </c>
      <c r="B8" s="16" t="s">
        <v>65</v>
      </c>
      <c r="C8" s="16">
        <v>28</v>
      </c>
      <c r="D8" s="16" t="s">
        <v>197</v>
      </c>
      <c r="E8" s="16" t="s">
        <v>198</v>
      </c>
      <c r="F8" s="16">
        <v>459</v>
      </c>
      <c r="G8" s="16">
        <v>22500</v>
      </c>
      <c r="H8" s="20">
        <f t="shared" si="0"/>
        <v>20.399999999999999</v>
      </c>
      <c r="I8" s="16">
        <v>20</v>
      </c>
      <c r="J8" s="18" t="str">
        <f t="shared" si="1"/>
        <v>Pass</v>
      </c>
      <c r="K8" s="16" t="s">
        <v>66</v>
      </c>
    </row>
    <row r="9" spans="1:11" ht="14.25" customHeight="1" x14ac:dyDescent="0.3">
      <c r="A9" s="16" t="s">
        <v>68</v>
      </c>
      <c r="B9" s="16" t="s">
        <v>72</v>
      </c>
      <c r="C9" s="16">
        <v>7</v>
      </c>
      <c r="D9" s="16" t="s">
        <v>116</v>
      </c>
      <c r="E9" s="16" t="s">
        <v>199</v>
      </c>
      <c r="F9" s="16">
        <v>348.8</v>
      </c>
      <c r="G9" s="16">
        <v>22500</v>
      </c>
      <c r="H9" s="20">
        <f t="shared" si="0"/>
        <v>15.5</v>
      </c>
      <c r="I9" s="16">
        <v>25</v>
      </c>
      <c r="J9" s="18" t="str">
        <f t="shared" si="1"/>
        <v>In Progress</v>
      </c>
      <c r="K9" s="16" t="s">
        <v>73</v>
      </c>
    </row>
    <row r="10" spans="1:11" ht="14.25" customHeight="1" x14ac:dyDescent="0.3">
      <c r="A10" s="16" t="s">
        <v>68</v>
      </c>
      <c r="B10" s="16" t="s">
        <v>72</v>
      </c>
      <c r="C10" s="16">
        <v>14</v>
      </c>
      <c r="D10" s="16" t="s">
        <v>148</v>
      </c>
      <c r="E10" s="16" t="s">
        <v>200</v>
      </c>
      <c r="F10" s="16">
        <v>461.2</v>
      </c>
      <c r="G10" s="16">
        <v>22500</v>
      </c>
      <c r="H10" s="20">
        <f t="shared" si="0"/>
        <v>20.5</v>
      </c>
      <c r="I10" s="16">
        <v>25</v>
      </c>
      <c r="J10" s="18" t="str">
        <f t="shared" si="1"/>
        <v>In Progress</v>
      </c>
      <c r="K10" s="16" t="s">
        <v>73</v>
      </c>
    </row>
    <row r="11" spans="1:11" ht="14.25" customHeight="1" x14ac:dyDescent="0.3">
      <c r="A11" s="16" t="s">
        <v>68</v>
      </c>
      <c r="B11" s="16" t="s">
        <v>72</v>
      </c>
      <c r="C11" s="16">
        <v>21</v>
      </c>
      <c r="D11" s="16" t="s">
        <v>201</v>
      </c>
      <c r="E11" s="16" t="s">
        <v>202</v>
      </c>
      <c r="F11" s="16">
        <v>523.1</v>
      </c>
      <c r="G11" s="16">
        <v>22500</v>
      </c>
      <c r="H11" s="20">
        <f t="shared" si="0"/>
        <v>23.25</v>
      </c>
      <c r="I11" s="16">
        <v>25</v>
      </c>
      <c r="J11" s="18" t="str">
        <f t="shared" si="1"/>
        <v>In Progress</v>
      </c>
      <c r="K11" s="16" t="s">
        <v>73</v>
      </c>
    </row>
    <row r="12" spans="1:11" ht="14.25" customHeight="1" x14ac:dyDescent="0.3">
      <c r="A12" s="16" t="s">
        <v>68</v>
      </c>
      <c r="B12" s="16" t="s">
        <v>72</v>
      </c>
      <c r="C12" s="16">
        <v>28</v>
      </c>
      <c r="D12" s="16" t="s">
        <v>203</v>
      </c>
      <c r="E12" s="16" t="s">
        <v>204</v>
      </c>
      <c r="F12" s="16">
        <v>573.79999999999995</v>
      </c>
      <c r="G12" s="16">
        <v>22500</v>
      </c>
      <c r="H12" s="20">
        <f t="shared" si="0"/>
        <v>25.5</v>
      </c>
      <c r="I12" s="16">
        <v>25</v>
      </c>
      <c r="J12" s="18" t="str">
        <f t="shared" si="1"/>
        <v>Pass</v>
      </c>
      <c r="K12" s="16" t="s">
        <v>73</v>
      </c>
    </row>
    <row r="13" spans="1:11" ht="14.25" customHeight="1" x14ac:dyDescent="0.3">
      <c r="A13" s="16" t="s">
        <v>75</v>
      </c>
      <c r="B13" s="16" t="s">
        <v>79</v>
      </c>
      <c r="C13" s="16">
        <v>7</v>
      </c>
      <c r="D13" s="16" t="s">
        <v>122</v>
      </c>
      <c r="E13" s="16" t="s">
        <v>205</v>
      </c>
      <c r="F13" s="16">
        <v>418.5</v>
      </c>
      <c r="G13" s="16">
        <v>22500</v>
      </c>
      <c r="H13" s="20">
        <f t="shared" si="0"/>
        <v>18.600000000000001</v>
      </c>
      <c r="I13" s="16">
        <v>30</v>
      </c>
      <c r="J13" s="18" t="str">
        <f t="shared" si="1"/>
        <v>In Progress</v>
      </c>
      <c r="K13" s="16" t="s">
        <v>80</v>
      </c>
    </row>
    <row r="14" spans="1:11" ht="14.25" customHeight="1" x14ac:dyDescent="0.3">
      <c r="A14" s="16" t="s">
        <v>75</v>
      </c>
      <c r="B14" s="16" t="s">
        <v>79</v>
      </c>
      <c r="C14" s="16">
        <v>14</v>
      </c>
      <c r="D14" s="16" t="s">
        <v>152</v>
      </c>
      <c r="E14" s="16" t="s">
        <v>206</v>
      </c>
      <c r="F14" s="16">
        <v>553.5</v>
      </c>
      <c r="G14" s="16">
        <v>22500</v>
      </c>
      <c r="H14" s="20">
        <f t="shared" si="0"/>
        <v>24.6</v>
      </c>
      <c r="I14" s="16">
        <v>30</v>
      </c>
      <c r="J14" s="18" t="str">
        <f t="shared" si="1"/>
        <v>In Progress</v>
      </c>
      <c r="K14" s="16" t="s">
        <v>80</v>
      </c>
    </row>
    <row r="15" spans="1:11" ht="14.25" customHeight="1" x14ac:dyDescent="0.3">
      <c r="A15" s="16" t="s">
        <v>75</v>
      </c>
      <c r="B15" s="16" t="s">
        <v>79</v>
      </c>
      <c r="C15" s="16">
        <v>21</v>
      </c>
      <c r="D15" s="16" t="s">
        <v>207</v>
      </c>
      <c r="E15" s="16" t="s">
        <v>208</v>
      </c>
      <c r="F15" s="16">
        <v>627.79999999999995</v>
      </c>
      <c r="G15" s="16">
        <v>22500</v>
      </c>
      <c r="H15" s="20">
        <f t="shared" si="0"/>
        <v>27.9</v>
      </c>
      <c r="I15" s="16">
        <v>30</v>
      </c>
      <c r="J15" s="18" t="str">
        <f t="shared" si="1"/>
        <v>In Progress</v>
      </c>
      <c r="K15" s="16" t="s">
        <v>80</v>
      </c>
    </row>
    <row r="16" spans="1:11" ht="14.25" customHeight="1" x14ac:dyDescent="0.3">
      <c r="A16" s="16" t="s">
        <v>75</v>
      </c>
      <c r="B16" s="16" t="s">
        <v>79</v>
      </c>
      <c r="C16" s="16">
        <v>28</v>
      </c>
      <c r="D16" s="16" t="s">
        <v>209</v>
      </c>
      <c r="E16" s="16" t="s">
        <v>210</v>
      </c>
      <c r="F16" s="16">
        <v>688.5</v>
      </c>
      <c r="G16" s="16">
        <v>22500</v>
      </c>
      <c r="H16" s="20">
        <f t="shared" si="0"/>
        <v>30.6</v>
      </c>
      <c r="I16" s="16">
        <v>30</v>
      </c>
      <c r="J16" s="18" t="str">
        <f t="shared" si="1"/>
        <v>Pass</v>
      </c>
      <c r="K16" s="16" t="s">
        <v>80</v>
      </c>
    </row>
    <row r="17" spans="1:11" ht="14.25" customHeight="1" x14ac:dyDescent="0.3">
      <c r="A17" s="16" t="s">
        <v>82</v>
      </c>
      <c r="B17" s="16" t="s">
        <v>86</v>
      </c>
      <c r="C17" s="16">
        <v>7</v>
      </c>
      <c r="D17" s="16" t="s">
        <v>128</v>
      </c>
      <c r="E17" s="16" t="s">
        <v>211</v>
      </c>
      <c r="F17" s="16">
        <v>348.8</v>
      </c>
      <c r="G17" s="16">
        <v>22500</v>
      </c>
      <c r="H17" s="20">
        <f t="shared" si="0"/>
        <v>15.5</v>
      </c>
      <c r="I17" s="16">
        <v>25</v>
      </c>
      <c r="J17" s="18" t="str">
        <f t="shared" si="1"/>
        <v>In Progress</v>
      </c>
      <c r="K17" s="16" t="s">
        <v>87</v>
      </c>
    </row>
    <row r="18" spans="1:11" ht="14.25" customHeight="1" x14ac:dyDescent="0.3">
      <c r="A18" s="16" t="s">
        <v>82</v>
      </c>
      <c r="B18" s="16" t="s">
        <v>86</v>
      </c>
      <c r="C18" s="16">
        <v>14</v>
      </c>
      <c r="D18" s="16" t="s">
        <v>156</v>
      </c>
      <c r="E18" s="16" t="s">
        <v>212</v>
      </c>
      <c r="F18" s="16">
        <v>461.2</v>
      </c>
      <c r="G18" s="16">
        <v>22500</v>
      </c>
      <c r="H18" s="20">
        <f t="shared" si="0"/>
        <v>20.5</v>
      </c>
      <c r="I18" s="16">
        <v>25</v>
      </c>
      <c r="J18" s="18" t="str">
        <f t="shared" si="1"/>
        <v>In Progress</v>
      </c>
      <c r="K18" s="16" t="s">
        <v>87</v>
      </c>
    </row>
    <row r="19" spans="1:11" ht="14.25" customHeight="1" x14ac:dyDescent="0.3">
      <c r="A19" s="16" t="s">
        <v>82</v>
      </c>
      <c r="B19" s="16" t="s">
        <v>86</v>
      </c>
      <c r="C19" s="16">
        <v>21</v>
      </c>
      <c r="D19" s="16" t="s">
        <v>213</v>
      </c>
      <c r="E19" s="16" t="s">
        <v>214</v>
      </c>
      <c r="F19" s="16">
        <v>523.1</v>
      </c>
      <c r="G19" s="16">
        <v>22500</v>
      </c>
      <c r="H19" s="20">
        <f t="shared" si="0"/>
        <v>23.25</v>
      </c>
      <c r="I19" s="16">
        <v>25</v>
      </c>
      <c r="J19" s="18" t="str">
        <f t="shared" si="1"/>
        <v>In Progress</v>
      </c>
      <c r="K19" s="16" t="s">
        <v>87</v>
      </c>
    </row>
    <row r="20" spans="1:11" ht="14.25" customHeight="1" x14ac:dyDescent="0.3">
      <c r="A20" s="16" t="s">
        <v>82</v>
      </c>
      <c r="B20" s="16" t="s">
        <v>86</v>
      </c>
      <c r="C20" s="16">
        <v>28</v>
      </c>
      <c r="D20" s="16" t="s">
        <v>215</v>
      </c>
      <c r="E20" s="16" t="s">
        <v>216</v>
      </c>
      <c r="F20" s="16">
        <v>573.79999999999995</v>
      </c>
      <c r="G20" s="16">
        <v>22500</v>
      </c>
      <c r="H20" s="20">
        <f t="shared" si="0"/>
        <v>25.5</v>
      </c>
      <c r="I20" s="16">
        <v>25</v>
      </c>
      <c r="J20" s="18" t="str">
        <f t="shared" si="1"/>
        <v>Pass</v>
      </c>
      <c r="K20" s="16" t="s">
        <v>87</v>
      </c>
    </row>
    <row r="21" spans="1:11" ht="14.25" customHeight="1" x14ac:dyDescent="0.3">
      <c r="A21" s="16" t="s">
        <v>89</v>
      </c>
      <c r="B21" s="16" t="s">
        <v>92</v>
      </c>
      <c r="C21" s="16">
        <v>7</v>
      </c>
      <c r="D21" s="16" t="s">
        <v>132</v>
      </c>
      <c r="E21" s="16" t="s">
        <v>217</v>
      </c>
      <c r="F21" s="16">
        <v>279</v>
      </c>
      <c r="G21" s="16">
        <v>22500</v>
      </c>
      <c r="H21" s="20">
        <f t="shared" si="0"/>
        <v>12.4</v>
      </c>
      <c r="I21" s="16">
        <v>20</v>
      </c>
      <c r="J21" s="18" t="str">
        <f t="shared" si="1"/>
        <v>In Progress</v>
      </c>
      <c r="K21" s="16" t="s">
        <v>93</v>
      </c>
    </row>
    <row r="22" spans="1:11" ht="14.25" customHeight="1" x14ac:dyDescent="0.3">
      <c r="A22" s="16" t="s">
        <v>89</v>
      </c>
      <c r="B22" s="16" t="s">
        <v>92</v>
      </c>
      <c r="C22" s="16">
        <v>14</v>
      </c>
      <c r="D22" s="16" t="s">
        <v>160</v>
      </c>
      <c r="E22" s="16" t="s">
        <v>218</v>
      </c>
      <c r="F22" s="16">
        <v>369</v>
      </c>
      <c r="G22" s="16">
        <v>22500</v>
      </c>
      <c r="H22" s="20">
        <f t="shared" si="0"/>
        <v>16.399999999999999</v>
      </c>
      <c r="I22" s="16">
        <v>20</v>
      </c>
      <c r="J22" s="18" t="str">
        <f t="shared" si="1"/>
        <v>In Progress</v>
      </c>
      <c r="K22" s="16" t="s">
        <v>93</v>
      </c>
    </row>
    <row r="23" spans="1:11" ht="14.25" customHeight="1" x14ac:dyDescent="0.3">
      <c r="A23" s="16" t="s">
        <v>89</v>
      </c>
      <c r="B23" s="16" t="s">
        <v>92</v>
      </c>
      <c r="C23" s="16">
        <v>21</v>
      </c>
      <c r="D23" s="16" t="s">
        <v>219</v>
      </c>
      <c r="E23" s="16" t="s">
        <v>220</v>
      </c>
      <c r="F23" s="16">
        <v>418.5</v>
      </c>
      <c r="G23" s="16">
        <v>22500</v>
      </c>
      <c r="H23" s="20">
        <f t="shared" si="0"/>
        <v>18.600000000000001</v>
      </c>
      <c r="I23" s="16">
        <v>20</v>
      </c>
      <c r="J23" s="18" t="str">
        <f t="shared" si="1"/>
        <v>In Progress</v>
      </c>
      <c r="K23" s="16" t="s">
        <v>93</v>
      </c>
    </row>
    <row r="24" spans="1:11" ht="14.25" customHeight="1" x14ac:dyDescent="0.3">
      <c r="A24" s="16" t="s">
        <v>89</v>
      </c>
      <c r="B24" s="16" t="s">
        <v>92</v>
      </c>
      <c r="C24" s="16">
        <v>28</v>
      </c>
      <c r="D24" s="16" t="s">
        <v>221</v>
      </c>
      <c r="E24" s="16" t="s">
        <v>222</v>
      </c>
      <c r="F24" s="16">
        <v>459</v>
      </c>
      <c r="G24" s="16">
        <v>22500</v>
      </c>
      <c r="H24" s="20">
        <f t="shared" si="0"/>
        <v>20.399999999999999</v>
      </c>
      <c r="I24" s="16">
        <v>20</v>
      </c>
      <c r="J24" s="18" t="str">
        <f t="shared" si="1"/>
        <v>Pass</v>
      </c>
      <c r="K24" s="16" t="s">
        <v>93</v>
      </c>
    </row>
    <row r="25" spans="1:11" ht="14.25" customHeight="1" x14ac:dyDescent="0.3">
      <c r="A25" s="16" t="s">
        <v>95</v>
      </c>
      <c r="B25" s="16" t="s">
        <v>98</v>
      </c>
      <c r="C25" s="16">
        <v>7</v>
      </c>
      <c r="D25" s="16" t="s">
        <v>136</v>
      </c>
      <c r="E25" s="16" t="s">
        <v>223</v>
      </c>
      <c r="F25" s="16">
        <v>488.2</v>
      </c>
      <c r="G25" s="16">
        <v>22500</v>
      </c>
      <c r="H25" s="20">
        <f t="shared" si="0"/>
        <v>21.7</v>
      </c>
      <c r="I25" s="16">
        <v>35</v>
      </c>
      <c r="J25" s="18" t="str">
        <f t="shared" si="1"/>
        <v>In Progress</v>
      </c>
      <c r="K25" s="16" t="s">
        <v>99</v>
      </c>
    </row>
    <row r="26" spans="1:11" ht="14.25" customHeight="1" x14ac:dyDescent="0.3">
      <c r="A26" s="16" t="s">
        <v>95</v>
      </c>
      <c r="B26" s="16" t="s">
        <v>98</v>
      </c>
      <c r="C26" s="16">
        <v>14</v>
      </c>
      <c r="D26" s="16" t="s">
        <v>164</v>
      </c>
      <c r="E26" s="16" t="s">
        <v>224</v>
      </c>
      <c r="F26" s="16">
        <v>645.79999999999995</v>
      </c>
      <c r="G26" s="16">
        <v>22500</v>
      </c>
      <c r="H26" s="20">
        <f t="shared" si="0"/>
        <v>28.7</v>
      </c>
      <c r="I26" s="16">
        <v>35</v>
      </c>
      <c r="J26" s="18" t="str">
        <f t="shared" si="1"/>
        <v>In Progress</v>
      </c>
      <c r="K26" s="16" t="s">
        <v>99</v>
      </c>
    </row>
    <row r="27" spans="1:11" ht="14.25" customHeight="1" x14ac:dyDescent="0.3">
      <c r="A27" s="16" t="s">
        <v>95</v>
      </c>
      <c r="B27" s="16" t="s">
        <v>98</v>
      </c>
      <c r="C27" s="16">
        <v>21</v>
      </c>
      <c r="D27" s="16" t="s">
        <v>225</v>
      </c>
      <c r="E27" s="16" t="s">
        <v>226</v>
      </c>
      <c r="F27" s="16">
        <v>732.4</v>
      </c>
      <c r="G27" s="16">
        <v>22500</v>
      </c>
      <c r="H27" s="20">
        <f t="shared" si="0"/>
        <v>32.549999999999997</v>
      </c>
      <c r="I27" s="16">
        <v>35</v>
      </c>
      <c r="J27" s="18" t="str">
        <f t="shared" si="1"/>
        <v>In Progress</v>
      </c>
      <c r="K27" s="16" t="s">
        <v>99</v>
      </c>
    </row>
    <row r="28" spans="1:11" ht="14.25" customHeight="1" x14ac:dyDescent="0.3">
      <c r="A28" s="16" t="s">
        <v>95</v>
      </c>
      <c r="B28" s="16" t="s">
        <v>98</v>
      </c>
      <c r="C28" s="16">
        <v>28</v>
      </c>
      <c r="D28" s="16" t="s">
        <v>227</v>
      </c>
      <c r="E28" s="16" t="s">
        <v>228</v>
      </c>
      <c r="F28" s="16">
        <v>803.3</v>
      </c>
      <c r="G28" s="16">
        <v>22500</v>
      </c>
      <c r="H28" s="20">
        <f t="shared" si="0"/>
        <v>35.700000000000003</v>
      </c>
      <c r="I28" s="16">
        <v>35</v>
      </c>
      <c r="J28" s="18" t="str">
        <f t="shared" si="1"/>
        <v>Pass</v>
      </c>
      <c r="K28" s="16" t="s">
        <v>99</v>
      </c>
    </row>
    <row r="29" spans="1:11" ht="14.25" customHeight="1" x14ac:dyDescent="0.3">
      <c r="A29" s="16" t="s">
        <v>101</v>
      </c>
      <c r="B29" s="16" t="s">
        <v>104</v>
      </c>
      <c r="C29" s="16">
        <v>28</v>
      </c>
      <c r="D29" s="16" t="s">
        <v>229</v>
      </c>
      <c r="E29" s="16" t="s">
        <v>230</v>
      </c>
      <c r="F29" s="16">
        <v>573.79999999999995</v>
      </c>
      <c r="G29" s="16">
        <v>22500</v>
      </c>
      <c r="H29" s="20">
        <f t="shared" si="0"/>
        <v>25.5</v>
      </c>
      <c r="I29" s="16">
        <v>25</v>
      </c>
      <c r="J29" s="18" t="str">
        <f t="shared" si="1"/>
        <v>Pass</v>
      </c>
      <c r="K29" s="16" t="s">
        <v>105</v>
      </c>
    </row>
    <row r="30" spans="1:11" ht="14.25" customHeight="1" x14ac:dyDescent="0.3">
      <c r="A30" s="16" t="s">
        <v>107</v>
      </c>
      <c r="B30" s="16" t="s">
        <v>110</v>
      </c>
      <c r="C30" s="16">
        <v>28</v>
      </c>
      <c r="D30" s="16" t="s">
        <v>231</v>
      </c>
      <c r="E30" s="16" t="s">
        <v>232</v>
      </c>
      <c r="F30" s="16">
        <v>607.5</v>
      </c>
      <c r="G30" s="16">
        <v>22500</v>
      </c>
      <c r="H30" s="20">
        <f t="shared" si="0"/>
        <v>27</v>
      </c>
      <c r="I30" s="16">
        <v>30</v>
      </c>
      <c r="J30" s="18" t="str">
        <f t="shared" si="1"/>
        <v>Fail - Non-Conforming</v>
      </c>
      <c r="K30" s="16" t="s">
        <v>111</v>
      </c>
    </row>
    <row r="31" spans="1:11" ht="14.25" customHeight="1" x14ac:dyDescent="0.3">
      <c r="A31" s="16" t="s">
        <v>113</v>
      </c>
      <c r="B31" s="16" t="s">
        <v>116</v>
      </c>
      <c r="C31" s="16">
        <v>28</v>
      </c>
      <c r="D31" s="16" t="s">
        <v>233</v>
      </c>
      <c r="E31" s="16" t="s">
        <v>234</v>
      </c>
      <c r="F31" s="16">
        <v>459</v>
      </c>
      <c r="G31" s="16">
        <v>22500</v>
      </c>
      <c r="H31" s="20">
        <f t="shared" si="0"/>
        <v>20.399999999999999</v>
      </c>
      <c r="I31" s="16">
        <v>20</v>
      </c>
      <c r="J31" s="18" t="str">
        <f t="shared" si="1"/>
        <v>Pass</v>
      </c>
      <c r="K31" s="16" t="s">
        <v>117</v>
      </c>
    </row>
    <row r="32" spans="1:11" ht="14.25" customHeight="1" x14ac:dyDescent="0.3">
      <c r="A32" s="16" t="s">
        <v>119</v>
      </c>
      <c r="B32" s="16" t="s">
        <v>122</v>
      </c>
      <c r="C32" s="16">
        <v>28</v>
      </c>
      <c r="D32" s="16" t="s">
        <v>235</v>
      </c>
      <c r="E32" s="16" t="s">
        <v>236</v>
      </c>
      <c r="F32" s="16">
        <v>573.79999999999995</v>
      </c>
      <c r="G32" s="16">
        <v>22500</v>
      </c>
      <c r="H32" s="20">
        <f t="shared" si="0"/>
        <v>25.5</v>
      </c>
      <c r="I32" s="16">
        <v>25</v>
      </c>
      <c r="J32" s="18" t="str">
        <f t="shared" si="1"/>
        <v>Pass</v>
      </c>
      <c r="K32" s="16" t="s">
        <v>123</v>
      </c>
    </row>
    <row r="33" spans="1:11" ht="14.25" customHeight="1" x14ac:dyDescent="0.3">
      <c r="A33" s="16" t="s">
        <v>125</v>
      </c>
      <c r="B33" s="16" t="s">
        <v>128</v>
      </c>
      <c r="C33" s="16">
        <v>28</v>
      </c>
      <c r="D33" s="16" t="s">
        <v>237</v>
      </c>
      <c r="E33" s="16" t="s">
        <v>238</v>
      </c>
      <c r="F33" s="16">
        <v>688.5</v>
      </c>
      <c r="G33" s="16">
        <v>22500</v>
      </c>
      <c r="H33" s="20">
        <f t="shared" si="0"/>
        <v>30.6</v>
      </c>
      <c r="I33" s="16">
        <v>30</v>
      </c>
      <c r="J33" s="18" t="str">
        <f t="shared" si="1"/>
        <v>Pass</v>
      </c>
      <c r="K33" s="16" t="s">
        <v>66</v>
      </c>
    </row>
    <row r="34" spans="1:11" ht="14.25" customHeight="1" x14ac:dyDescent="0.3">
      <c r="A34" s="16" t="s">
        <v>129</v>
      </c>
      <c r="B34" s="16" t="s">
        <v>132</v>
      </c>
      <c r="C34" s="16">
        <v>28</v>
      </c>
      <c r="D34" s="16" t="s">
        <v>239</v>
      </c>
      <c r="E34" s="16" t="s">
        <v>240</v>
      </c>
      <c r="F34" s="16">
        <v>573.79999999999995</v>
      </c>
      <c r="G34" s="16">
        <v>22500</v>
      </c>
      <c r="H34" s="20">
        <f t="shared" si="0"/>
        <v>25.5</v>
      </c>
      <c r="I34" s="16">
        <v>25</v>
      </c>
      <c r="J34" s="18" t="str">
        <f t="shared" si="1"/>
        <v>Pass</v>
      </c>
      <c r="K34" s="16" t="s">
        <v>73</v>
      </c>
    </row>
    <row r="35" spans="1:11" ht="14.25" customHeight="1" x14ac:dyDescent="0.3">
      <c r="A35" s="16" t="s">
        <v>133</v>
      </c>
      <c r="B35" s="16" t="s">
        <v>136</v>
      </c>
      <c r="C35" s="16">
        <v>28</v>
      </c>
      <c r="D35" s="16" t="s">
        <v>241</v>
      </c>
      <c r="E35" s="16" t="s">
        <v>242</v>
      </c>
      <c r="F35" s="16">
        <v>459</v>
      </c>
      <c r="G35" s="16">
        <v>22500</v>
      </c>
      <c r="H35" s="20">
        <f t="shared" si="0"/>
        <v>20.399999999999999</v>
      </c>
      <c r="I35" s="16">
        <v>20</v>
      </c>
      <c r="J35" s="18" t="str">
        <f t="shared" si="1"/>
        <v>Pass</v>
      </c>
      <c r="K35" s="16" t="s">
        <v>80</v>
      </c>
    </row>
    <row r="36" spans="1:11" ht="14.25" customHeight="1" x14ac:dyDescent="0.3">
      <c r="A36" s="16" t="s">
        <v>137</v>
      </c>
      <c r="B36" s="16" t="s">
        <v>140</v>
      </c>
      <c r="C36" s="16">
        <v>28</v>
      </c>
      <c r="D36" s="16" t="s">
        <v>243</v>
      </c>
      <c r="E36" s="16" t="s">
        <v>244</v>
      </c>
      <c r="F36" s="16">
        <v>803.3</v>
      </c>
      <c r="G36" s="16">
        <v>22500</v>
      </c>
      <c r="H36" s="20">
        <f t="shared" si="0"/>
        <v>35.700000000000003</v>
      </c>
      <c r="I36" s="16">
        <v>35</v>
      </c>
      <c r="J36" s="18" t="str">
        <f t="shared" si="1"/>
        <v>Pass</v>
      </c>
      <c r="K36" s="16" t="s">
        <v>87</v>
      </c>
    </row>
    <row r="37" spans="1:11" ht="14.25" customHeight="1" x14ac:dyDescent="0.3">
      <c r="A37" s="16" t="s">
        <v>141</v>
      </c>
      <c r="B37" s="16" t="s">
        <v>144</v>
      </c>
      <c r="C37" s="16">
        <v>28</v>
      </c>
      <c r="D37" s="16" t="s">
        <v>245</v>
      </c>
      <c r="E37" s="16" t="s">
        <v>246</v>
      </c>
      <c r="F37" s="16">
        <v>506.2</v>
      </c>
      <c r="G37" s="16">
        <v>22500</v>
      </c>
      <c r="H37" s="20">
        <f t="shared" si="0"/>
        <v>22.5</v>
      </c>
      <c r="I37" s="16">
        <v>25</v>
      </c>
      <c r="J37" s="18" t="str">
        <f t="shared" si="1"/>
        <v>Fail - Non-Conforming</v>
      </c>
      <c r="K37" s="16" t="s">
        <v>93</v>
      </c>
    </row>
    <row r="38" spans="1:11" ht="14.25" customHeight="1" x14ac:dyDescent="0.3">
      <c r="A38" s="16" t="s">
        <v>145</v>
      </c>
      <c r="B38" s="16" t="s">
        <v>148</v>
      </c>
      <c r="C38" s="16">
        <v>28</v>
      </c>
      <c r="D38" s="16" t="s">
        <v>247</v>
      </c>
      <c r="E38" s="16" t="s">
        <v>248</v>
      </c>
      <c r="F38" s="16">
        <v>688.5</v>
      </c>
      <c r="G38" s="16">
        <v>22500</v>
      </c>
      <c r="H38" s="20">
        <f t="shared" si="0"/>
        <v>30.6</v>
      </c>
      <c r="I38" s="16">
        <v>30</v>
      </c>
      <c r="J38" s="18" t="str">
        <f t="shared" si="1"/>
        <v>Pass</v>
      </c>
      <c r="K38" s="16" t="s">
        <v>99</v>
      </c>
    </row>
    <row r="39" spans="1:11" ht="14.25" customHeight="1" x14ac:dyDescent="0.3">
      <c r="A39" s="16" t="s">
        <v>149</v>
      </c>
      <c r="B39" s="16" t="s">
        <v>152</v>
      </c>
      <c r="C39" s="16">
        <v>28</v>
      </c>
      <c r="D39" s="16" t="s">
        <v>249</v>
      </c>
      <c r="E39" s="16" t="s">
        <v>250</v>
      </c>
      <c r="F39" s="16">
        <v>459</v>
      </c>
      <c r="G39" s="16">
        <v>22500</v>
      </c>
      <c r="H39" s="20">
        <f t="shared" si="0"/>
        <v>20.399999999999999</v>
      </c>
      <c r="I39" s="16">
        <v>20</v>
      </c>
      <c r="J39" s="18" t="str">
        <f t="shared" si="1"/>
        <v>Pass</v>
      </c>
      <c r="K39" s="16" t="s">
        <v>105</v>
      </c>
    </row>
    <row r="40" spans="1:11" ht="14.25" customHeight="1" x14ac:dyDescent="0.3">
      <c r="A40" s="16" t="s">
        <v>153</v>
      </c>
      <c r="B40" s="16" t="s">
        <v>156</v>
      </c>
      <c r="C40" s="16">
        <v>28</v>
      </c>
      <c r="D40" s="16" t="s">
        <v>251</v>
      </c>
      <c r="E40" s="16" t="s">
        <v>252</v>
      </c>
      <c r="F40" s="16">
        <v>506.2</v>
      </c>
      <c r="G40" s="16">
        <v>22500</v>
      </c>
      <c r="H40" s="20">
        <f t="shared" si="0"/>
        <v>22.5</v>
      </c>
      <c r="I40" s="16">
        <v>25</v>
      </c>
      <c r="J40" s="18" t="str">
        <f t="shared" si="1"/>
        <v>Fail - Non-Conforming</v>
      </c>
      <c r="K40" s="16" t="s">
        <v>111</v>
      </c>
    </row>
    <row r="41" spans="1:11" ht="14.25" customHeight="1" x14ac:dyDescent="0.3">
      <c r="A41" s="16" t="s">
        <v>157</v>
      </c>
      <c r="B41" s="16" t="s">
        <v>160</v>
      </c>
      <c r="C41" s="16">
        <v>28</v>
      </c>
      <c r="D41" s="16" t="s">
        <v>253</v>
      </c>
      <c r="E41" s="16" t="s">
        <v>254</v>
      </c>
      <c r="F41" s="16">
        <v>688.5</v>
      </c>
      <c r="G41" s="16">
        <v>22500</v>
      </c>
      <c r="H41" s="20">
        <f t="shared" si="0"/>
        <v>30.6</v>
      </c>
      <c r="I41" s="16">
        <v>30</v>
      </c>
      <c r="J41" s="18" t="str">
        <f t="shared" si="1"/>
        <v>Pass</v>
      </c>
      <c r="K41" s="16" t="s">
        <v>117</v>
      </c>
    </row>
    <row r="42" spans="1:11" ht="14.25" customHeight="1" x14ac:dyDescent="0.3">
      <c r="A42" s="16" t="s">
        <v>161</v>
      </c>
      <c r="B42" s="16" t="s">
        <v>164</v>
      </c>
      <c r="C42" s="16">
        <v>28</v>
      </c>
      <c r="D42" s="16" t="s">
        <v>255</v>
      </c>
      <c r="E42" s="16" t="s">
        <v>256</v>
      </c>
      <c r="F42" s="16">
        <v>573.79999999999995</v>
      </c>
      <c r="G42" s="16">
        <v>22500</v>
      </c>
      <c r="H42" s="20">
        <f t="shared" si="0"/>
        <v>25.5</v>
      </c>
      <c r="I42" s="16">
        <v>25</v>
      </c>
      <c r="J42" s="18" t="str">
        <f t="shared" si="1"/>
        <v>Pass</v>
      </c>
      <c r="K42" s="16" t="s">
        <v>123</v>
      </c>
    </row>
    <row r="43" spans="1:11" ht="14.25" customHeight="1" x14ac:dyDescent="0.3">
      <c r="A43" s="17"/>
      <c r="B43" s="17"/>
      <c r="C43" s="17"/>
      <c r="D43" s="17"/>
      <c r="E43" s="17"/>
      <c r="F43" s="17"/>
      <c r="G43" s="17"/>
      <c r="H43" s="21" t="str">
        <f t="shared" si="0"/>
        <v/>
      </c>
      <c r="I43" s="17"/>
      <c r="J43" s="19" t="str">
        <f t="shared" si="1"/>
        <v/>
      </c>
      <c r="K43" s="17"/>
    </row>
    <row r="44" spans="1:11" ht="14.25" customHeight="1" x14ac:dyDescent="0.3">
      <c r="A44" s="17"/>
      <c r="B44" s="17"/>
      <c r="C44" s="17"/>
      <c r="D44" s="17"/>
      <c r="E44" s="17"/>
      <c r="F44" s="17"/>
      <c r="G44" s="17"/>
      <c r="H44" s="21" t="str">
        <f t="shared" si="0"/>
        <v/>
      </c>
      <c r="I44" s="17"/>
      <c r="J44" s="19" t="str">
        <f t="shared" si="1"/>
        <v/>
      </c>
      <c r="K44" s="17"/>
    </row>
    <row r="45" spans="1:11" ht="14.25" customHeight="1" x14ac:dyDescent="0.3">
      <c r="A45" s="17"/>
      <c r="B45" s="17"/>
      <c r="C45" s="17"/>
      <c r="D45" s="17"/>
      <c r="E45" s="17"/>
      <c r="F45" s="17"/>
      <c r="G45" s="17"/>
      <c r="H45" s="21" t="str">
        <f t="shared" si="0"/>
        <v/>
      </c>
      <c r="I45" s="17"/>
      <c r="J45" s="19" t="str">
        <f t="shared" si="1"/>
        <v/>
      </c>
      <c r="K45" s="17"/>
    </row>
    <row r="46" spans="1:11" ht="14.25" customHeight="1" x14ac:dyDescent="0.3">
      <c r="A46" s="17"/>
      <c r="B46" s="17"/>
      <c r="C46" s="17"/>
      <c r="D46" s="17"/>
      <c r="E46" s="17"/>
      <c r="F46" s="17"/>
      <c r="G46" s="17"/>
      <c r="H46" s="21" t="str">
        <f t="shared" si="0"/>
        <v/>
      </c>
      <c r="I46" s="17"/>
      <c r="J46" s="19" t="str">
        <f t="shared" si="1"/>
        <v/>
      </c>
      <c r="K46" s="17"/>
    </row>
    <row r="47" spans="1:11" ht="14.25" customHeight="1" x14ac:dyDescent="0.3">
      <c r="A47" s="17"/>
      <c r="B47" s="17"/>
      <c r="C47" s="17"/>
      <c r="D47" s="17"/>
      <c r="E47" s="17"/>
      <c r="F47" s="17"/>
      <c r="G47" s="17"/>
      <c r="H47" s="21" t="str">
        <f t="shared" si="0"/>
        <v/>
      </c>
      <c r="I47" s="17"/>
      <c r="J47" s="19" t="str">
        <f t="shared" si="1"/>
        <v/>
      </c>
      <c r="K47" s="17"/>
    </row>
    <row r="48" spans="1:11" ht="14.25" customHeight="1" x14ac:dyDescent="0.3">
      <c r="A48" s="17"/>
      <c r="B48" s="17"/>
      <c r="C48" s="17"/>
      <c r="D48" s="17"/>
      <c r="E48" s="17"/>
      <c r="F48" s="17"/>
      <c r="G48" s="17"/>
      <c r="H48" s="21" t="str">
        <f t="shared" si="0"/>
        <v/>
      </c>
      <c r="I48" s="17"/>
      <c r="J48" s="19" t="str">
        <f t="shared" si="1"/>
        <v/>
      </c>
      <c r="K48" s="17"/>
    </row>
    <row r="49" spans="1:11" ht="14.25" customHeight="1" x14ac:dyDescent="0.3">
      <c r="A49" s="17"/>
      <c r="B49" s="17"/>
      <c r="C49" s="17"/>
      <c r="D49" s="17"/>
      <c r="E49" s="17"/>
      <c r="F49" s="17"/>
      <c r="G49" s="17"/>
      <c r="H49" s="21" t="str">
        <f t="shared" si="0"/>
        <v/>
      </c>
      <c r="I49" s="17"/>
      <c r="J49" s="19" t="str">
        <f t="shared" si="1"/>
        <v/>
      </c>
      <c r="K49" s="17"/>
    </row>
    <row r="50" spans="1:11" ht="14.25" customHeight="1" x14ac:dyDescent="0.3">
      <c r="A50" s="17"/>
      <c r="B50" s="17"/>
      <c r="C50" s="17"/>
      <c r="D50" s="17"/>
      <c r="E50" s="17"/>
      <c r="F50" s="17"/>
      <c r="G50" s="17"/>
      <c r="H50" s="21" t="str">
        <f t="shared" si="0"/>
        <v/>
      </c>
      <c r="I50" s="17"/>
      <c r="J50" s="19" t="str">
        <f t="shared" si="1"/>
        <v/>
      </c>
      <c r="K50" s="17"/>
    </row>
    <row r="51" spans="1:11" ht="14.25" customHeight="1" x14ac:dyDescent="0.3">
      <c r="A51" s="17"/>
      <c r="B51" s="17"/>
      <c r="C51" s="17"/>
      <c r="D51" s="17"/>
      <c r="E51" s="17"/>
      <c r="F51" s="17"/>
      <c r="G51" s="17"/>
      <c r="H51" s="21" t="str">
        <f t="shared" si="0"/>
        <v/>
      </c>
      <c r="I51" s="17"/>
      <c r="J51" s="19" t="str">
        <f t="shared" si="1"/>
        <v/>
      </c>
      <c r="K51" s="17"/>
    </row>
    <row r="52" spans="1:11" ht="14.25" customHeight="1" x14ac:dyDescent="0.3">
      <c r="A52" s="17"/>
      <c r="B52" s="17"/>
      <c r="C52" s="17"/>
      <c r="D52" s="17"/>
      <c r="E52" s="17"/>
      <c r="F52" s="17"/>
      <c r="G52" s="17"/>
      <c r="H52" s="21" t="str">
        <f t="shared" si="0"/>
        <v/>
      </c>
      <c r="I52" s="17"/>
      <c r="J52" s="19" t="str">
        <f t="shared" si="1"/>
        <v/>
      </c>
      <c r="K52" s="17"/>
    </row>
  </sheetData>
  <mergeCells count="2">
    <mergeCell ref="A1:K1"/>
    <mergeCell ref="A2:K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5"/>
  <sheetViews>
    <sheetView showGridLines="0" zoomScaleNormal="100" workbookViewId="0">
      <selection activeCell="A2" sqref="A2"/>
    </sheetView>
  </sheetViews>
  <sheetFormatPr defaultColWidth="8.6640625" defaultRowHeight="14.4" x14ac:dyDescent="0.3"/>
  <cols>
    <col min="1" max="1" width="34" customWidth="1"/>
    <col min="2" max="2" width="18" customWidth="1"/>
    <col min="3" max="3" width="34" customWidth="1"/>
    <col min="4" max="4" width="18" customWidth="1"/>
  </cols>
  <sheetData>
    <row r="1" spans="1:4" ht="24" customHeight="1" x14ac:dyDescent="0.3">
      <c r="A1" s="5" t="s">
        <v>257</v>
      </c>
      <c r="B1" s="5"/>
      <c r="C1" s="5"/>
      <c r="D1" s="5"/>
    </row>
    <row r="3" spans="1:4" ht="14.25" customHeight="1" x14ac:dyDescent="0.3">
      <c r="A3" s="7" t="s">
        <v>258</v>
      </c>
      <c r="B3" s="7" t="s">
        <v>259</v>
      </c>
    </row>
    <row r="4" spans="1:4" ht="14.25" customHeight="1" x14ac:dyDescent="0.3">
      <c r="A4" s="14" t="s">
        <v>260</v>
      </c>
      <c r="B4" s="22">
        <f>COUNTA(Registration!A5:A34)</f>
        <v>20</v>
      </c>
    </row>
    <row r="5" spans="1:4" ht="14.25" customHeight="1" x14ac:dyDescent="0.3">
      <c r="A5" s="14" t="s">
        <v>261</v>
      </c>
      <c r="B5" s="22">
        <f>COUNTA('Slump Test'!A5:A34)</f>
        <v>20</v>
      </c>
    </row>
    <row r="6" spans="1:4" ht="14.25" customHeight="1" x14ac:dyDescent="0.3">
      <c r="A6" s="14" t="s">
        <v>262</v>
      </c>
      <c r="B6" s="22">
        <f>COUNTIF('Slump Test'!F5:F34,"No - Non-Conforming")</f>
        <v>3</v>
      </c>
    </row>
    <row r="7" spans="1:4" ht="14.25" customHeight="1" x14ac:dyDescent="0.3">
      <c r="A7" s="14" t="s">
        <v>263</v>
      </c>
      <c r="B7" s="22">
        <f>COUNT('Curing and Strength'!H5:H52)</f>
        <v>38</v>
      </c>
    </row>
    <row r="8" spans="1:4" ht="14.25" customHeight="1" x14ac:dyDescent="0.3">
      <c r="A8" s="14" t="s">
        <v>264</v>
      </c>
      <c r="B8" s="22">
        <f>COUNTIF('Curing and Strength'!J5:J52,"Fail - Non-Conforming")</f>
        <v>3</v>
      </c>
    </row>
    <row r="9" spans="1:4" ht="14.25" customHeight="1" x14ac:dyDescent="0.3">
      <c r="A9" s="14" t="s">
        <v>265</v>
      </c>
      <c r="B9" s="22">
        <f>COUNTIF('Curing and Strength'!J5:J52,"Pass")</f>
        <v>17</v>
      </c>
    </row>
    <row r="12" spans="1:4" ht="14.25" customHeight="1" x14ac:dyDescent="0.3">
      <c r="A12" s="2" t="s">
        <v>266</v>
      </c>
      <c r="B12" s="2"/>
      <c r="C12" s="2"/>
      <c r="D12" s="2"/>
    </row>
    <row r="13" spans="1:4" ht="14.25" customHeight="1" x14ac:dyDescent="0.3">
      <c r="A13" s="7" t="s">
        <v>267</v>
      </c>
      <c r="B13" s="7" t="s">
        <v>54</v>
      </c>
      <c r="C13" s="7" t="s">
        <v>268</v>
      </c>
      <c r="D13" s="7" t="s">
        <v>269</v>
      </c>
    </row>
    <row r="14" spans="1:4" ht="14.25" customHeight="1" x14ac:dyDescent="0.3">
      <c r="A14" s="16" t="s">
        <v>165</v>
      </c>
      <c r="B14" s="16" t="s">
        <v>82</v>
      </c>
      <c r="C14" s="16" t="s">
        <v>270</v>
      </c>
      <c r="D14" s="16" t="s">
        <v>86</v>
      </c>
    </row>
    <row r="15" spans="1:4" ht="14.25" customHeight="1" x14ac:dyDescent="0.3">
      <c r="A15" s="16" t="s">
        <v>165</v>
      </c>
      <c r="B15" s="16" t="s">
        <v>133</v>
      </c>
      <c r="C15" s="16" t="s">
        <v>271</v>
      </c>
      <c r="D15" s="16" t="s">
        <v>136</v>
      </c>
    </row>
    <row r="16" spans="1:4" ht="14.25" customHeight="1" x14ac:dyDescent="0.3">
      <c r="A16" s="16" t="s">
        <v>165</v>
      </c>
      <c r="B16" s="16" t="s">
        <v>161</v>
      </c>
      <c r="C16" s="16" t="s">
        <v>272</v>
      </c>
      <c r="D16" s="16" t="s">
        <v>164</v>
      </c>
    </row>
    <row r="17" spans="1:4" ht="27" customHeight="1" x14ac:dyDescent="0.3">
      <c r="A17" s="16" t="s">
        <v>273</v>
      </c>
      <c r="B17" s="16" t="s">
        <v>107</v>
      </c>
      <c r="C17" s="16" t="s">
        <v>274</v>
      </c>
      <c r="D17" s="16" t="s">
        <v>231</v>
      </c>
    </row>
    <row r="18" spans="1:4" ht="27" customHeight="1" x14ac:dyDescent="0.3">
      <c r="A18" s="16" t="s">
        <v>273</v>
      </c>
      <c r="B18" s="16" t="s">
        <v>141</v>
      </c>
      <c r="C18" s="16" t="s">
        <v>274</v>
      </c>
      <c r="D18" s="16" t="s">
        <v>245</v>
      </c>
    </row>
    <row r="19" spans="1:4" ht="27" customHeight="1" x14ac:dyDescent="0.3">
      <c r="A19" s="16" t="s">
        <v>273</v>
      </c>
      <c r="B19" s="16" t="s">
        <v>153</v>
      </c>
      <c r="C19" s="16" t="s">
        <v>274</v>
      </c>
      <c r="D19" s="16" t="s">
        <v>251</v>
      </c>
    </row>
    <row r="20" spans="1:4" ht="14.25" customHeight="1" x14ac:dyDescent="0.3">
      <c r="A20" s="14"/>
      <c r="B20" s="14"/>
      <c r="C20" s="14"/>
      <c r="D20" s="14"/>
    </row>
    <row r="21" spans="1:4" ht="14.25" customHeight="1" x14ac:dyDescent="0.3">
      <c r="A21" s="14"/>
      <c r="B21" s="14"/>
      <c r="C21" s="14"/>
      <c r="D21" s="14"/>
    </row>
    <row r="22" spans="1:4" ht="14.25" customHeight="1" x14ac:dyDescent="0.3">
      <c r="A22" s="14"/>
      <c r="B22" s="14"/>
      <c r="C22" s="14"/>
      <c r="D22" s="14"/>
    </row>
    <row r="23" spans="1:4" ht="14.25" customHeight="1" x14ac:dyDescent="0.3">
      <c r="A23" s="14"/>
      <c r="B23" s="14"/>
      <c r="C23" s="14"/>
      <c r="D23" s="14"/>
    </row>
    <row r="24" spans="1:4" ht="14.25" customHeight="1" x14ac:dyDescent="0.3">
      <c r="A24" s="14"/>
      <c r="B24" s="14"/>
      <c r="C24" s="14"/>
      <c r="D24" s="14"/>
    </row>
    <row r="25" spans="1:4" ht="14.25" customHeight="1" x14ac:dyDescent="0.3">
      <c r="A25" s="14"/>
      <c r="B25" s="14"/>
      <c r="C25" s="14"/>
      <c r="D25" s="14"/>
    </row>
  </sheetData>
  <mergeCells count="2">
    <mergeCell ref="A1:D1"/>
    <mergeCell ref="A12:D1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abSelected="1" topLeftCell="A40" zoomScaleNormal="100" workbookViewId="0">
      <selection activeCell="L59" sqref="L59"/>
    </sheetView>
  </sheetViews>
  <sheetFormatPr defaultColWidth="8.6640625" defaultRowHeight="14.4" x14ac:dyDescent="0.3"/>
  <sheetData/>
  <pageMargins left="0.75" right="0.75" top="1" bottom="1"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4"/>
  <sheetViews>
    <sheetView zoomScaleNormal="100" workbookViewId="0"/>
  </sheetViews>
  <sheetFormatPr defaultColWidth="8.6640625" defaultRowHeight="14.4" x14ac:dyDescent="0.3"/>
  <cols>
    <col min="1" max="1" width="24" customWidth="1"/>
    <col min="2" max="7" width="14" customWidth="1"/>
  </cols>
  <sheetData>
    <row r="1" spans="1:7" x14ac:dyDescent="0.3">
      <c r="A1" s="23" t="s">
        <v>33</v>
      </c>
      <c r="B1" s="23" t="s">
        <v>61</v>
      </c>
      <c r="C1" s="23" t="s">
        <v>68</v>
      </c>
      <c r="D1" s="23" t="s">
        <v>75</v>
      </c>
      <c r="E1" s="23" t="s">
        <v>82</v>
      </c>
      <c r="F1" s="23" t="s">
        <v>89</v>
      </c>
      <c r="G1" s="23" t="s">
        <v>95</v>
      </c>
    </row>
    <row r="2" spans="1:7" x14ac:dyDescent="0.3">
      <c r="A2" s="24">
        <v>7</v>
      </c>
      <c r="B2" s="24">
        <f>SUMIFS('Curing and Strength'!$H$5:$H$52,'Curing and Strength'!$A$5:$A$52,B$1,'Curing and Strength'!$C$5:$C$52,$A2)</f>
        <v>12.4</v>
      </c>
      <c r="C2" s="24">
        <f>SUMIFS('Curing and Strength'!$H$5:$H$52,'Curing and Strength'!$A$5:$A$52,C$1,'Curing and Strength'!$C$5:$C$52,$A2)</f>
        <v>15.5</v>
      </c>
      <c r="D2" s="24">
        <f>SUMIFS('Curing and Strength'!$H$5:$H$52,'Curing and Strength'!$A$5:$A$52,D$1,'Curing and Strength'!$C$5:$C$52,$A2)</f>
        <v>18.600000000000001</v>
      </c>
      <c r="E2" s="24">
        <f>SUMIFS('Curing and Strength'!$H$5:$H$52,'Curing and Strength'!$A$5:$A$52,E$1,'Curing and Strength'!$C$5:$C$52,$A2)</f>
        <v>15.5</v>
      </c>
      <c r="F2" s="24">
        <f>SUMIFS('Curing and Strength'!$H$5:$H$52,'Curing and Strength'!$A$5:$A$52,F$1,'Curing and Strength'!$C$5:$C$52,$A2)</f>
        <v>12.4</v>
      </c>
      <c r="G2" s="24">
        <f>SUMIFS('Curing and Strength'!$H$5:$H$52,'Curing and Strength'!$A$5:$A$52,G$1,'Curing and Strength'!$C$5:$C$52,$A2)</f>
        <v>21.7</v>
      </c>
    </row>
    <row r="3" spans="1:7" x14ac:dyDescent="0.3">
      <c r="A3" s="24">
        <v>14</v>
      </c>
      <c r="B3" s="24">
        <f>SUMIFS('Curing and Strength'!$H$5:$H$52,'Curing and Strength'!$A$5:$A$52,B$1,'Curing and Strength'!$C$5:$C$52,$A3)</f>
        <v>16.399999999999999</v>
      </c>
      <c r="C3" s="24">
        <f>SUMIFS('Curing and Strength'!$H$5:$H$52,'Curing and Strength'!$A$5:$A$52,C$1,'Curing and Strength'!$C$5:$C$52,$A3)</f>
        <v>20.5</v>
      </c>
      <c r="D3" s="24">
        <f>SUMIFS('Curing and Strength'!$H$5:$H$52,'Curing and Strength'!$A$5:$A$52,D$1,'Curing and Strength'!$C$5:$C$52,$A3)</f>
        <v>24.6</v>
      </c>
      <c r="E3" s="24">
        <f>SUMIFS('Curing and Strength'!$H$5:$H$52,'Curing and Strength'!$A$5:$A$52,E$1,'Curing and Strength'!$C$5:$C$52,$A3)</f>
        <v>20.5</v>
      </c>
      <c r="F3" s="24">
        <f>SUMIFS('Curing and Strength'!$H$5:$H$52,'Curing and Strength'!$A$5:$A$52,F$1,'Curing and Strength'!$C$5:$C$52,$A3)</f>
        <v>16.399999999999999</v>
      </c>
      <c r="G3" s="24">
        <f>SUMIFS('Curing and Strength'!$H$5:$H$52,'Curing and Strength'!$A$5:$A$52,G$1,'Curing and Strength'!$C$5:$C$52,$A3)</f>
        <v>28.7</v>
      </c>
    </row>
    <row r="4" spans="1:7" x14ac:dyDescent="0.3">
      <c r="A4" s="24">
        <v>21</v>
      </c>
      <c r="B4" s="24">
        <f>SUMIFS('Curing and Strength'!$H$5:$H$52,'Curing and Strength'!$A$5:$A$52,B$1,'Curing and Strength'!$C$5:$C$52,$A4)</f>
        <v>18.600000000000001</v>
      </c>
      <c r="C4" s="24">
        <f>SUMIFS('Curing and Strength'!$H$5:$H$52,'Curing and Strength'!$A$5:$A$52,C$1,'Curing and Strength'!$C$5:$C$52,$A4)</f>
        <v>23.25</v>
      </c>
      <c r="D4" s="24">
        <f>SUMIFS('Curing and Strength'!$H$5:$H$52,'Curing and Strength'!$A$5:$A$52,D$1,'Curing and Strength'!$C$5:$C$52,$A4)</f>
        <v>27.9</v>
      </c>
      <c r="E4" s="24">
        <f>SUMIFS('Curing and Strength'!$H$5:$H$52,'Curing and Strength'!$A$5:$A$52,E$1,'Curing and Strength'!$C$5:$C$52,$A4)</f>
        <v>23.25</v>
      </c>
      <c r="F4" s="24">
        <f>SUMIFS('Curing and Strength'!$H$5:$H$52,'Curing and Strength'!$A$5:$A$52,F$1,'Curing and Strength'!$C$5:$C$52,$A4)</f>
        <v>18.600000000000001</v>
      </c>
      <c r="G4" s="24">
        <f>SUMIFS('Curing and Strength'!$H$5:$H$52,'Curing and Strength'!$A$5:$A$52,G$1,'Curing and Strength'!$C$5:$C$52,$A4)</f>
        <v>32.549999999999997</v>
      </c>
    </row>
    <row r="5" spans="1:7" x14ac:dyDescent="0.3">
      <c r="A5" s="24">
        <v>28</v>
      </c>
      <c r="B5" s="24">
        <f>SUMIFS('Curing and Strength'!$H$5:$H$52,'Curing and Strength'!$A$5:$A$52,B$1,'Curing and Strength'!$C$5:$C$52,$A5)</f>
        <v>20.399999999999999</v>
      </c>
      <c r="C5" s="24">
        <f>SUMIFS('Curing and Strength'!$H$5:$H$52,'Curing and Strength'!$A$5:$A$52,C$1,'Curing and Strength'!$C$5:$C$52,$A5)</f>
        <v>25.5</v>
      </c>
      <c r="D5" s="24">
        <f>SUMIFS('Curing and Strength'!$H$5:$H$52,'Curing and Strength'!$A$5:$A$52,D$1,'Curing and Strength'!$C$5:$C$52,$A5)</f>
        <v>30.6</v>
      </c>
      <c r="E5" s="24">
        <f>SUMIFS('Curing and Strength'!$H$5:$H$52,'Curing and Strength'!$A$5:$A$52,E$1,'Curing and Strength'!$C$5:$C$52,$A5)</f>
        <v>25.5</v>
      </c>
      <c r="F5" s="24">
        <f>SUMIFS('Curing and Strength'!$H$5:$H$52,'Curing and Strength'!$A$5:$A$52,F$1,'Curing and Strength'!$C$5:$C$52,$A5)</f>
        <v>20.399999999999999</v>
      </c>
      <c r="G5" s="24">
        <f>SUMIFS('Curing and Strength'!$H$5:$H$52,'Curing and Strength'!$A$5:$A$52,G$1,'Curing and Strength'!$C$5:$C$52,$A5)</f>
        <v>35.700000000000003</v>
      </c>
    </row>
    <row r="7" spans="1:7" x14ac:dyDescent="0.3">
      <c r="A7" s="23" t="s">
        <v>275</v>
      </c>
      <c r="B7" s="23" t="s">
        <v>276</v>
      </c>
    </row>
    <row r="8" spans="1:7" x14ac:dyDescent="0.3">
      <c r="A8" s="24" t="s">
        <v>277</v>
      </c>
      <c r="B8" s="24">
        <f>Reporting!B9</f>
        <v>17</v>
      </c>
    </row>
    <row r="9" spans="1:7" x14ac:dyDescent="0.3">
      <c r="A9" s="24" t="s">
        <v>278</v>
      </c>
      <c r="B9" s="24">
        <f>Reporting!B8</f>
        <v>3</v>
      </c>
    </row>
    <row r="10" spans="1:7" x14ac:dyDescent="0.3">
      <c r="A10" s="24" t="s">
        <v>40</v>
      </c>
      <c r="B10" s="24">
        <f>Reporting!B7-Reporting!B8-Reporting!B9</f>
        <v>18</v>
      </c>
    </row>
    <row r="12" spans="1:7" x14ac:dyDescent="0.3">
      <c r="A12" s="23" t="s">
        <v>279</v>
      </c>
      <c r="B12" s="23" t="s">
        <v>280</v>
      </c>
    </row>
    <row r="13" spans="1:7" x14ac:dyDescent="0.3">
      <c r="A13" s="24" t="s">
        <v>165</v>
      </c>
      <c r="B13" s="24">
        <f>Reporting!B6</f>
        <v>3</v>
      </c>
    </row>
    <row r="14" spans="1:7" x14ac:dyDescent="0.3">
      <c r="A14" s="24" t="s">
        <v>281</v>
      </c>
      <c r="B14" s="24">
        <f>Reporting!B8</f>
        <v>3</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Lists</vt:lpstr>
      <vt:lpstr>Registration</vt:lpstr>
      <vt:lpstr>Slump Test</vt:lpstr>
      <vt:lpstr>Curing and Strength</vt:lpstr>
      <vt:lpstr>Reporting</vt:lpstr>
      <vt:lpstr>Charts</vt:lpstr>
      <vt:lpstr>Chart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Home Pc</cp:lastModifiedBy>
  <cp:revision>2</cp:revision>
  <dcterms:created xsi:type="dcterms:W3CDTF">2026-08-26T20:18:55Z</dcterms:created>
  <dcterms:modified xsi:type="dcterms:W3CDTF">2026-08-29T15:30:21Z</dcterms:modified>
  <dc:language>en-US</dc:language>
</cp:coreProperties>
</file>